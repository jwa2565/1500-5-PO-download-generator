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rstonebuildingbrands-my.sharepoint.com/personal/joseph_amaya_cornerstone-bb_com/Documents/Documents/Projects/109 1500-5/PO Download/Manual PO download for FAT SASHHHH/"/>
    </mc:Choice>
  </mc:AlternateContent>
  <xr:revisionPtr revIDLastSave="194" documentId="8_{8C78400D-A2C9-457A-9C90-24EE216C2329}" xr6:coauthVersionLast="47" xr6:coauthVersionMax="47" xr10:uidLastSave="{2EF3FEFF-68D8-490A-BE4C-88F93CB83FB7}"/>
  <bookViews>
    <workbookView xWindow="28680" yWindow="-120" windowWidth="29040" windowHeight="15720" xr2:uid="{17707C50-83BB-412B-93A2-AF6983A45ED6}"/>
  </bookViews>
  <sheets>
    <sheet name="661482 - Profile List (Sash)" sheetId="1" r:id="rId1"/>
    <sheet name="Sheet1" sheetId="2" r:id="rId2"/>
    <sheet name="Sheet2" sheetId="3" r:id="rId3"/>
  </sheets>
  <definedNames>
    <definedName name="_xlnm._FilterDatabase" localSheetId="0" hidden="1">'661482 - Profile List (Sash)'!#REF!</definedName>
    <definedName name="_xlnm.Print_Area" localSheetId="0">'661482 - Profile List (Sash)'!$F$1:$M$21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2" l="1"/>
  <c r="N17" i="2"/>
  <c r="N18" i="2"/>
  <c r="N19" i="2"/>
  <c r="N20" i="2"/>
  <c r="N21" i="2"/>
  <c r="N22" i="2"/>
  <c r="N15" i="2"/>
  <c r="H16" i="2"/>
  <c r="H17" i="2"/>
  <c r="H18" i="2"/>
  <c r="H19" i="2"/>
  <c r="H20" i="2"/>
  <c r="H21" i="2"/>
  <c r="H22" i="2"/>
  <c r="H15" i="2"/>
  <c r="F16" i="2"/>
  <c r="F17" i="2"/>
  <c r="F18" i="2"/>
  <c r="F19" i="2"/>
  <c r="F20" i="2"/>
  <c r="F21" i="2"/>
  <c r="F22" i="2"/>
  <c r="F15" i="2"/>
  <c r="D16" i="2"/>
  <c r="D17" i="2"/>
  <c r="D18" i="2"/>
  <c r="D19" i="2"/>
  <c r="D20" i="2"/>
  <c r="D21" i="2"/>
  <c r="D22" i="2"/>
  <c r="D15" i="2"/>
  <c r="K17" i="1"/>
  <c r="I17" i="1"/>
  <c r="M16" i="1"/>
  <c r="M15" i="1"/>
  <c r="M14" i="1"/>
  <c r="M13" i="1"/>
  <c r="M12" i="1"/>
  <c r="M11" i="1"/>
  <c r="M10" i="1"/>
  <c r="M9" i="1"/>
  <c r="M17" i="1" l="1"/>
</calcChain>
</file>

<file path=xl/sharedStrings.xml><?xml version="1.0" encoding="utf-8"?>
<sst xmlns="http://schemas.openxmlformats.org/spreadsheetml/2006/main" count="421" uniqueCount="91">
  <si>
    <t>Order Specification - Sample Request</t>
  </si>
  <si>
    <t>Ply Gem Windows - Rocky Mount
661482</t>
  </si>
  <si>
    <t>Label samples FAT</t>
  </si>
  <si>
    <t>Profile Number</t>
  </si>
  <si>
    <t>Description</t>
  </si>
  <si>
    <t>Color</t>
  </si>
  <si>
    <t># of Units for Testing</t>
  </si>
  <si>
    <t>Size</t>
  </si>
  <si>
    <t># of Units for FAT</t>
  </si>
  <si>
    <t>TOTAL UNITS FOR STURTZ TEST &amp; FAT</t>
  </si>
  <si>
    <r>
      <t>200131+200130</t>
    </r>
    <r>
      <rPr>
        <strike/>
        <sz val="14"/>
        <rFont val="Arial"/>
        <family val="2"/>
      </rPr>
      <t>+200132</t>
    </r>
  </si>
  <si>
    <t>1500 Single Hung Slider Sash Stile, Lock Rail, and Lift Rail Profile</t>
  </si>
  <si>
    <t>White</t>
  </si>
  <si>
    <t>36" x 36"</t>
  </si>
  <si>
    <t>SS Frame1500 Single Hung Slider Sash Stile, Lock Rail, and Lift Rail Profile</t>
  </si>
  <si>
    <t>10.375" x 8.625"</t>
  </si>
  <si>
    <t>40" x 72"</t>
  </si>
  <si>
    <t>200131+200130+200132</t>
  </si>
  <si>
    <t>1500 Single Hung Sash Stile, Lock Rail, and Lift Rail Profile</t>
  </si>
  <si>
    <t>12.938" x 10.750"</t>
  </si>
  <si>
    <t>15.5" x 15.5"</t>
  </si>
  <si>
    <t>50.438" x 47"</t>
  </si>
  <si>
    <t>49.563" x 34.5"</t>
  </si>
  <si>
    <t>72" x 72"</t>
  </si>
  <si>
    <t>32.938" x 28.750"</t>
  </si>
  <si>
    <t>Send To Address Below:</t>
  </si>
  <si>
    <t>STUERTZ MACHINENBAU GMBH 
LINZER STRABE 24
NEUSTADT/WIED-ROTT,
DE 53577
0114926833090
Attn: Laura Schmidt</t>
  </si>
  <si>
    <r>
      <rPr>
        <b/>
        <sz val="11"/>
        <color indexed="8"/>
        <rFont val="Aptos Narrow"/>
        <family val="2"/>
      </rPr>
      <t>K</t>
    </r>
    <r>
      <rPr>
        <sz val="10"/>
        <rFont val="Arial"/>
      </rPr>
      <t>0123456789</t>
    </r>
    <r>
      <rPr>
        <b/>
        <sz val="11"/>
        <color indexed="8"/>
        <rFont val="Aptos Narrow"/>
        <family val="2"/>
      </rPr>
      <t>P</t>
    </r>
    <r>
      <rPr>
        <sz val="10"/>
        <rFont val="Arial"/>
      </rPr>
      <t>0123456789</t>
    </r>
    <r>
      <rPr>
        <b/>
        <sz val="11"/>
        <color indexed="8"/>
        <rFont val="Aptos Narrow"/>
        <family val="2"/>
      </rPr>
      <t>T</t>
    </r>
    <r>
      <rPr>
        <sz val="10"/>
        <rFont val="Arial"/>
      </rPr>
      <t>0123</t>
    </r>
    <r>
      <rPr>
        <b/>
        <sz val="11"/>
        <color indexed="8"/>
        <rFont val="Aptos Narrow"/>
        <family val="2"/>
      </rPr>
      <t>N</t>
    </r>
    <r>
      <rPr>
        <sz val="10"/>
        <rFont val="Arial"/>
      </rPr>
      <t>0123</t>
    </r>
    <r>
      <rPr>
        <b/>
        <sz val="11"/>
        <color indexed="8"/>
        <rFont val="Aptos Narrow"/>
        <family val="2"/>
      </rPr>
      <t>A</t>
    </r>
    <r>
      <rPr>
        <sz val="10"/>
        <rFont val="Arial"/>
      </rPr>
      <t>012</t>
    </r>
    <r>
      <rPr>
        <b/>
        <sz val="11"/>
        <color indexed="8"/>
        <rFont val="Aptos Narrow"/>
        <family val="2"/>
      </rPr>
      <t>C</t>
    </r>
    <r>
      <rPr>
        <sz val="10"/>
        <rFont val="Arial"/>
      </rPr>
      <t>0123456789</t>
    </r>
    <r>
      <rPr>
        <b/>
        <sz val="11"/>
        <color indexed="8"/>
        <rFont val="Aptos Narrow"/>
        <family val="2"/>
      </rPr>
      <t>L</t>
    </r>
    <r>
      <rPr>
        <sz val="10"/>
        <rFont val="Arial"/>
      </rPr>
      <t>01234</t>
    </r>
  </si>
  <si>
    <t>K- Order Number (10 Chars)</t>
  </si>
  <si>
    <t>P- Profile Identification (10 Chars)</t>
  </si>
  <si>
    <t>T- Color (4 Chars)</t>
  </si>
  <si>
    <t>N- Bin Number (4 Chars)</t>
  </si>
  <si>
    <t>A- Quantity (3 Chars)</t>
  </si>
  <si>
    <t>C- Comment (10 Chars)</t>
  </si>
  <si>
    <t>L- Length (5 Chars)</t>
  </si>
  <si>
    <t>K</t>
  </si>
  <si>
    <t>P</t>
  </si>
  <si>
    <t>T</t>
  </si>
  <si>
    <t>N</t>
  </si>
  <si>
    <t>A</t>
  </si>
  <si>
    <t>C</t>
  </si>
  <si>
    <t>L</t>
  </si>
  <si>
    <t>A01A</t>
  </si>
  <si>
    <t>001</t>
  </si>
  <si>
    <t>A02A</t>
  </si>
  <si>
    <t xml:space="preserve"> </t>
  </si>
  <si>
    <t>Order#</t>
  </si>
  <si>
    <t>SO04866101</t>
  </si>
  <si>
    <t>SO04866102</t>
  </si>
  <si>
    <t>SO04866103</t>
  </si>
  <si>
    <t>SO04866104</t>
  </si>
  <si>
    <t>SO04866105</t>
  </si>
  <si>
    <t>SO04866106</t>
  </si>
  <si>
    <t>SO04866107</t>
  </si>
  <si>
    <t>SO04866108</t>
  </si>
  <si>
    <t>ProfileID</t>
  </si>
  <si>
    <t>HSSTD</t>
  </si>
  <si>
    <t>SHSTD</t>
  </si>
  <si>
    <t>WHWH</t>
  </si>
  <si>
    <t>A03A</t>
  </si>
  <si>
    <t>A04A</t>
  </si>
  <si>
    <t>A05A</t>
  </si>
  <si>
    <t>A06A</t>
  </si>
  <si>
    <t>A07A</t>
  </si>
  <si>
    <t>A08A</t>
  </si>
  <si>
    <t>Single Hung Sash</t>
  </si>
  <si>
    <t>SHIRS</t>
  </si>
  <si>
    <t>Single Hung Sash, Impact</t>
  </si>
  <si>
    <t>Single Slider Sash</t>
  </si>
  <si>
    <t>SHSTDR</t>
  </si>
  <si>
    <t>SHSTDS</t>
  </si>
  <si>
    <t>SHIRSR</t>
  </si>
  <si>
    <t>SHIRSS</t>
  </si>
  <si>
    <t>HSSTDR</t>
  </si>
  <si>
    <t>HSSTDS</t>
  </si>
  <si>
    <t>rail</t>
  </si>
  <si>
    <t>stile</t>
  </si>
  <si>
    <t>03625</t>
  </si>
  <si>
    <t>01063</t>
  </si>
  <si>
    <t>00888</t>
  </si>
  <si>
    <t>04025</t>
  </si>
  <si>
    <t>07225</t>
  </si>
  <si>
    <t>01319</t>
  </si>
  <si>
    <t>01100</t>
  </si>
  <si>
    <t>01575</t>
  </si>
  <si>
    <t>05069</t>
  </si>
  <si>
    <t>04725</t>
  </si>
  <si>
    <t>XO</t>
  </si>
  <si>
    <t>OX</t>
  </si>
  <si>
    <t>HSSTDS1</t>
  </si>
  <si>
    <t>HSSTDS2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</si>
</sst>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1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20"/>
      <color rgb="FFFF0000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strike/>
      <sz val="14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i/>
      <sz val="18"/>
      <color indexed="10"/>
      <name val="Arial"/>
      <family val="2"/>
    </font>
    <font>
      <b/>
      <i/>
      <sz val="18"/>
      <name val="Arial"/>
      <family val="2"/>
    </font>
    <font>
      <sz val="10"/>
      <name val="Arial"/>
      <family val="2"/>
    </font>
    <font>
      <b/>
      <sz val="11"/>
      <color indexed="8"/>
      <name val="Aptos Narrow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49" fontId="6" fillId="5" borderId="2" xfId="1" applyNumberFormat="1" applyFont="1" applyFill="1" applyBorder="1" applyAlignment="1">
      <alignment horizontal="center"/>
    </xf>
    <xf numFmtId="49" fontId="6" fillId="5" borderId="3" xfId="1" applyNumberFormat="1" applyFont="1" applyFill="1" applyBorder="1" applyAlignment="1">
      <alignment horizontal="center"/>
    </xf>
    <xf numFmtId="0" fontId="6" fillId="5" borderId="3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left" vertical="center"/>
    </xf>
    <xf numFmtId="0" fontId="6" fillId="0" borderId="8" xfId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/>
    </xf>
    <xf numFmtId="0" fontId="6" fillId="0" borderId="11" xfId="1" applyFont="1" applyBorder="1" applyAlignment="1">
      <alignment horizontal="left" vertical="center"/>
    </xf>
    <xf numFmtId="0" fontId="6" fillId="0" borderId="11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left" vertical="center"/>
    </xf>
    <xf numFmtId="0" fontId="6" fillId="0" borderId="14" xfId="1" applyFont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6" fillId="0" borderId="16" xfId="1" applyNumberFormat="1" applyFont="1" applyBorder="1" applyAlignment="1">
      <alignment horizontal="center" vertical="center"/>
    </xf>
    <xf numFmtId="0" fontId="6" fillId="0" borderId="17" xfId="1" applyFont="1" applyBorder="1" applyAlignment="1">
      <alignment horizontal="left" vertical="center"/>
    </xf>
    <xf numFmtId="0" fontId="6" fillId="0" borderId="17" xfId="1" applyFont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1" applyFont="1" applyAlignment="1">
      <alignment horizontal="right"/>
    </xf>
    <xf numFmtId="0" fontId="10" fillId="0" borderId="0" xfId="1" applyFont="1" applyAlignment="1">
      <alignment horizontal="center" vertical="top" wrapText="1"/>
    </xf>
    <xf numFmtId="0" fontId="10" fillId="0" borderId="0" xfId="1" applyFont="1" applyAlignment="1">
      <alignment vertical="top" wrapText="1"/>
    </xf>
    <xf numFmtId="0" fontId="11" fillId="0" borderId="0" xfId="1" applyFont="1" applyAlignment="1">
      <alignment vertical="center" wrapText="1"/>
    </xf>
    <xf numFmtId="0" fontId="11" fillId="0" borderId="0" xfId="1" applyFont="1" applyAlignment="1">
      <alignment horizontal="left" vertical="center"/>
    </xf>
    <xf numFmtId="0" fontId="0" fillId="0" borderId="22" xfId="0" applyBorder="1"/>
    <xf numFmtId="49" fontId="0" fillId="0" borderId="0" xfId="0" applyNumberFormat="1"/>
    <xf numFmtId="49" fontId="0" fillId="0" borderId="23" xfId="0" applyNumberFormat="1" applyBorder="1"/>
    <xf numFmtId="0" fontId="0" fillId="0" borderId="23" xfId="0" applyBorder="1"/>
    <xf numFmtId="0" fontId="12" fillId="0" borderId="0" xfId="0" applyFont="1"/>
    <xf numFmtId="49" fontId="12" fillId="0" borderId="0" xfId="0" applyNumberFormat="1" applyFont="1"/>
    <xf numFmtId="0" fontId="11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top" wrapText="1"/>
    </xf>
    <xf numFmtId="0" fontId="10" fillId="0" borderId="0" xfId="1" applyFont="1" applyAlignment="1">
      <alignment horizontal="center" vertical="top"/>
    </xf>
    <xf numFmtId="0" fontId="11" fillId="0" borderId="0" xfId="1" applyFont="1" applyAlignment="1">
      <alignment horizontal="left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</cellXfs>
  <cellStyles count="2">
    <cellStyle name="Normal" xfId="0" builtinId="0"/>
    <cellStyle name="Standard_Profil-Liste_080702" xfId="1" xr:uid="{E97104C0-5855-4893-A02C-8B2D6037AAA1}"/>
  </cellStyles>
  <dxfs count="1">
    <dxf>
      <font>
        <color auto="1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3048000" cy="504825"/>
    <xdr:pic>
      <xdr:nvPicPr>
        <xdr:cNvPr id="2" name="Picture 79" descr="stuertz_logo_rgb75.jpg">
          <a:extLst>
            <a:ext uri="{FF2B5EF4-FFF2-40B4-BE49-F238E27FC236}">
              <a16:creationId xmlns:a16="http://schemas.microsoft.com/office/drawing/2014/main" id="{7744CBD7-8EC6-4C1E-B644-3DDD9FE41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0" y="333375"/>
          <a:ext cx="30480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71290-3168-4BF8-8F22-2BCDF3D5EEF0}">
  <sheetPr>
    <pageSetUpPr fitToPage="1"/>
  </sheetPr>
  <dimension ref="B1:P34"/>
  <sheetViews>
    <sheetView tabSelected="1" zoomScale="80" zoomScaleNormal="80" workbookViewId="0">
      <selection activeCell="B9" sqref="B9"/>
    </sheetView>
  </sheetViews>
  <sheetFormatPr defaultColWidth="12.5703125" defaultRowHeight="14.25" x14ac:dyDescent="0.2"/>
  <cols>
    <col min="1" max="1" width="12.5703125" style="3"/>
    <col min="2" max="2" width="21" style="3" customWidth="1"/>
    <col min="3" max="4" width="13" style="3" hidden="1" customWidth="1"/>
    <col min="5" max="5" width="15.7109375" style="3" hidden="1" customWidth="1"/>
    <col min="6" max="6" width="36.28515625" style="3" customWidth="1"/>
    <col min="7" max="7" width="90.7109375" style="3" bestFit="1" customWidth="1"/>
    <col min="8" max="8" width="30" style="3" hidden="1" customWidth="1"/>
    <col min="9" max="9" width="23.7109375" style="3" hidden="1" customWidth="1"/>
    <col min="10" max="10" width="44.42578125" style="3" customWidth="1"/>
    <col min="11" max="11" width="24" style="3" bestFit="1" customWidth="1"/>
    <col min="12" max="12" width="44.42578125" style="3" bestFit="1" customWidth="1"/>
    <col min="13" max="13" width="21.140625" style="3" hidden="1" customWidth="1"/>
    <col min="14" max="14" width="12.5703125" style="3"/>
    <col min="15" max="15" width="32.5703125" style="3" bestFit="1" customWidth="1"/>
    <col min="16" max="16384" width="12.5703125" style="3"/>
  </cols>
  <sheetData>
    <row r="1" spans="2:13" ht="26.25" x14ac:dyDescent="0.2">
      <c r="F1" s="55" t="s">
        <v>0</v>
      </c>
      <c r="G1" s="55"/>
      <c r="H1" s="55"/>
      <c r="I1" s="55"/>
      <c r="J1" s="55"/>
      <c r="K1" s="1"/>
      <c r="L1" s="2"/>
      <c r="M1" s="2"/>
    </row>
    <row r="2" spans="2:13" ht="26.25" customHeight="1" x14ac:dyDescent="0.2">
      <c r="F2" s="55"/>
      <c r="G2" s="55"/>
      <c r="H2" s="55"/>
      <c r="I2" s="55"/>
      <c r="J2" s="55"/>
      <c r="K2" s="1"/>
    </row>
    <row r="3" spans="2:13" ht="20.25" customHeight="1" x14ac:dyDescent="0.2">
      <c r="F3" s="56" t="s">
        <v>1</v>
      </c>
      <c r="G3" s="56"/>
      <c r="H3" s="56"/>
      <c r="I3" s="56"/>
      <c r="J3" s="56"/>
      <c r="K3" s="4"/>
    </row>
    <row r="4" spans="2:13" ht="14.25" customHeight="1" x14ac:dyDescent="0.2">
      <c r="F4" s="56"/>
      <c r="G4" s="56"/>
      <c r="H4" s="56"/>
      <c r="I4" s="56"/>
      <c r="J4" s="56"/>
      <c r="K4" s="57" t="s">
        <v>2</v>
      </c>
      <c r="L4" s="57"/>
      <c r="M4" s="57"/>
    </row>
    <row r="5" spans="2:13" ht="14.25" customHeight="1" x14ac:dyDescent="0.2">
      <c r="F5" s="56"/>
      <c r="G5" s="56"/>
      <c r="H5" s="56"/>
      <c r="I5" s="56"/>
      <c r="J5" s="56"/>
      <c r="K5" s="57"/>
      <c r="L5" s="57"/>
      <c r="M5" s="57"/>
    </row>
    <row r="6" spans="2:13" ht="15" customHeight="1" thickBot="1" x14ac:dyDescent="0.25">
      <c r="F6" s="56"/>
      <c r="G6" s="56"/>
      <c r="H6" s="56"/>
      <c r="I6" s="56"/>
      <c r="J6" s="56"/>
      <c r="K6" s="58"/>
      <c r="L6" s="58"/>
      <c r="M6" s="58"/>
    </row>
    <row r="7" spans="2:13" ht="48" thickBot="1" x14ac:dyDescent="0.25">
      <c r="B7" s="3" t="s">
        <v>46</v>
      </c>
      <c r="C7" s="3" t="s">
        <v>55</v>
      </c>
      <c r="D7" s="3" t="s">
        <v>5</v>
      </c>
      <c r="F7" s="5" t="s">
        <v>3</v>
      </c>
      <c r="G7" s="6" t="s">
        <v>4</v>
      </c>
      <c r="H7" s="6" t="s">
        <v>5</v>
      </c>
      <c r="I7" s="7" t="s">
        <v>6</v>
      </c>
      <c r="J7" s="7" t="s">
        <v>7</v>
      </c>
      <c r="K7" s="8" t="s">
        <v>8</v>
      </c>
      <c r="L7" s="8" t="s">
        <v>7</v>
      </c>
      <c r="M7" s="9" t="s">
        <v>9</v>
      </c>
    </row>
    <row r="8" spans="2:13" ht="18.75" thickBot="1" x14ac:dyDescent="0.3">
      <c r="F8" s="10"/>
      <c r="G8" s="11"/>
      <c r="H8" s="11"/>
      <c r="I8" s="12"/>
      <c r="J8" s="13"/>
      <c r="K8" s="13"/>
      <c r="L8" s="13"/>
      <c r="M8" s="14"/>
    </row>
    <row r="9" spans="2:13" ht="18" x14ac:dyDescent="0.25">
      <c r="B9" s="3" t="s">
        <v>47</v>
      </c>
      <c r="C9" s="3" t="s">
        <v>56</v>
      </c>
      <c r="D9" s="3" t="s">
        <v>58</v>
      </c>
      <c r="E9" s="3" t="s">
        <v>45</v>
      </c>
      <c r="F9" s="15" t="s">
        <v>10</v>
      </c>
      <c r="G9" s="16" t="s">
        <v>11</v>
      </c>
      <c r="H9" s="17" t="s">
        <v>12</v>
      </c>
      <c r="I9" s="18">
        <v>20</v>
      </c>
      <c r="J9" s="19" t="s">
        <v>13</v>
      </c>
      <c r="K9" s="19">
        <v>10</v>
      </c>
      <c r="L9" s="19" t="s">
        <v>13</v>
      </c>
      <c r="M9" s="20">
        <f>I9+K9</f>
        <v>30</v>
      </c>
    </row>
    <row r="10" spans="2:13" ht="18" x14ac:dyDescent="0.25">
      <c r="B10" s="3" t="s">
        <v>48</v>
      </c>
      <c r="C10" s="3" t="s">
        <v>56</v>
      </c>
      <c r="D10" s="3" t="s">
        <v>58</v>
      </c>
      <c r="E10" s="3" t="s">
        <v>45</v>
      </c>
      <c r="F10" s="21" t="s">
        <v>10</v>
      </c>
      <c r="G10" s="22" t="s">
        <v>14</v>
      </c>
      <c r="H10" s="23" t="s">
        <v>12</v>
      </c>
      <c r="I10" s="24">
        <v>20</v>
      </c>
      <c r="J10" s="25" t="s">
        <v>15</v>
      </c>
      <c r="K10" s="25">
        <v>10</v>
      </c>
      <c r="L10" s="25" t="s">
        <v>15</v>
      </c>
      <c r="M10" s="26">
        <f t="shared" ref="M10:M16" si="0">I10+K10</f>
        <v>30</v>
      </c>
    </row>
    <row r="11" spans="2:13" ht="18.75" thickBot="1" x14ac:dyDescent="0.3">
      <c r="B11" s="3" t="s">
        <v>49</v>
      </c>
      <c r="C11" s="3" t="s">
        <v>56</v>
      </c>
      <c r="D11" s="3" t="s">
        <v>58</v>
      </c>
      <c r="E11" s="3" t="s">
        <v>45</v>
      </c>
      <c r="F11" s="27" t="s">
        <v>10</v>
      </c>
      <c r="G11" s="28" t="s">
        <v>14</v>
      </c>
      <c r="H11" s="29" t="s">
        <v>12</v>
      </c>
      <c r="I11" s="30">
        <v>20</v>
      </c>
      <c r="J11" s="31" t="s">
        <v>16</v>
      </c>
      <c r="K11" s="31">
        <v>10</v>
      </c>
      <c r="L11" s="31" t="s">
        <v>16</v>
      </c>
      <c r="M11" s="32">
        <f t="shared" si="0"/>
        <v>30</v>
      </c>
    </row>
    <row r="12" spans="2:13" ht="18" x14ac:dyDescent="0.25">
      <c r="B12" s="3" t="s">
        <v>50</v>
      </c>
      <c r="C12" s="3" t="s">
        <v>57</v>
      </c>
      <c r="D12" s="3" t="s">
        <v>58</v>
      </c>
      <c r="E12" s="3" t="s">
        <v>45</v>
      </c>
      <c r="F12" s="15" t="s">
        <v>17</v>
      </c>
      <c r="G12" s="16" t="s">
        <v>18</v>
      </c>
      <c r="H12" s="17" t="s">
        <v>12</v>
      </c>
      <c r="I12" s="18">
        <v>20</v>
      </c>
      <c r="J12" s="19" t="s">
        <v>13</v>
      </c>
      <c r="K12" s="19">
        <v>30</v>
      </c>
      <c r="L12" s="19" t="s">
        <v>13</v>
      </c>
      <c r="M12" s="20">
        <f t="shared" si="0"/>
        <v>50</v>
      </c>
    </row>
    <row r="13" spans="2:13" ht="18" x14ac:dyDescent="0.25">
      <c r="B13" s="3" t="s">
        <v>51</v>
      </c>
      <c r="C13" s="3" t="s">
        <v>57</v>
      </c>
      <c r="D13" s="3" t="s">
        <v>58</v>
      </c>
      <c r="E13" s="3" t="s">
        <v>45</v>
      </c>
      <c r="F13" s="21" t="s">
        <v>17</v>
      </c>
      <c r="G13" s="22" t="s">
        <v>18</v>
      </c>
      <c r="H13" s="23" t="s">
        <v>12</v>
      </c>
      <c r="I13" s="24">
        <v>20</v>
      </c>
      <c r="J13" s="25" t="s">
        <v>19</v>
      </c>
      <c r="K13" s="25">
        <v>10</v>
      </c>
      <c r="L13" s="25" t="s">
        <v>19</v>
      </c>
      <c r="M13" s="26">
        <f t="shared" si="0"/>
        <v>30</v>
      </c>
    </row>
    <row r="14" spans="2:13" ht="18" x14ac:dyDescent="0.25">
      <c r="B14" s="3" t="s">
        <v>52</v>
      </c>
      <c r="C14" s="3" t="s">
        <v>57</v>
      </c>
      <c r="D14" s="3" t="s">
        <v>58</v>
      </c>
      <c r="E14" s="3" t="s">
        <v>45</v>
      </c>
      <c r="F14" s="21" t="s">
        <v>17</v>
      </c>
      <c r="G14" s="22" t="s">
        <v>18</v>
      </c>
      <c r="H14" s="23" t="s">
        <v>12</v>
      </c>
      <c r="I14" s="24">
        <v>20</v>
      </c>
      <c r="J14" s="25" t="s">
        <v>20</v>
      </c>
      <c r="K14" s="25">
        <v>10</v>
      </c>
      <c r="L14" s="25" t="s">
        <v>20</v>
      </c>
      <c r="M14" s="26">
        <f t="shared" si="0"/>
        <v>30</v>
      </c>
    </row>
    <row r="15" spans="2:13" ht="18" x14ac:dyDescent="0.25">
      <c r="B15" s="3" t="s">
        <v>53</v>
      </c>
      <c r="C15" s="3" t="s">
        <v>57</v>
      </c>
      <c r="D15" s="3" t="s">
        <v>58</v>
      </c>
      <c r="E15" s="3" t="s">
        <v>45</v>
      </c>
      <c r="F15" s="21" t="s">
        <v>17</v>
      </c>
      <c r="G15" s="22" t="s">
        <v>18</v>
      </c>
      <c r="H15" s="23" t="s">
        <v>12</v>
      </c>
      <c r="I15" s="24">
        <v>20</v>
      </c>
      <c r="J15" s="25" t="s">
        <v>21</v>
      </c>
      <c r="K15" s="25">
        <v>10</v>
      </c>
      <c r="L15" s="25" t="s">
        <v>22</v>
      </c>
      <c r="M15" s="26">
        <f t="shared" si="0"/>
        <v>30</v>
      </c>
    </row>
    <row r="16" spans="2:13" ht="18.75" thickBot="1" x14ac:dyDescent="0.25">
      <c r="B16" s="3" t="s">
        <v>54</v>
      </c>
      <c r="C16" s="3" t="s">
        <v>57</v>
      </c>
      <c r="D16" s="3" t="s">
        <v>58</v>
      </c>
      <c r="E16" s="3" t="s">
        <v>45</v>
      </c>
      <c r="F16" s="33" t="s">
        <v>17</v>
      </c>
      <c r="G16" s="34" t="s">
        <v>18</v>
      </c>
      <c r="H16" s="35" t="s">
        <v>12</v>
      </c>
      <c r="I16" s="36">
        <v>20</v>
      </c>
      <c r="J16" s="37" t="s">
        <v>23</v>
      </c>
      <c r="K16" s="37">
        <v>10</v>
      </c>
      <c r="L16" s="37" t="s">
        <v>24</v>
      </c>
      <c r="M16" s="38">
        <f t="shared" si="0"/>
        <v>30</v>
      </c>
    </row>
    <row r="17" spans="6:16" ht="18" x14ac:dyDescent="0.25">
      <c r="F17" s="39"/>
      <c r="G17" s="40"/>
      <c r="H17" s="40"/>
      <c r="I17" s="41">
        <f>SUM(I9:I16)</f>
        <v>160</v>
      </c>
      <c r="J17" s="42"/>
      <c r="K17" s="41">
        <f>SUM(K9:K16)</f>
        <v>100</v>
      </c>
      <c r="L17" s="43"/>
      <c r="M17" s="41">
        <f>SUM(M9:M16)</f>
        <v>260</v>
      </c>
    </row>
    <row r="18" spans="6:16" ht="23.25" x14ac:dyDescent="0.2">
      <c r="F18" s="44"/>
      <c r="G18" s="59"/>
      <c r="H18" s="59"/>
      <c r="I18" s="59"/>
      <c r="J18" s="59"/>
      <c r="K18" s="59"/>
      <c r="L18" s="59"/>
      <c r="M18" s="45"/>
      <c r="N18" s="45"/>
      <c r="O18" s="45"/>
      <c r="P18" s="45"/>
    </row>
    <row r="19" spans="6:16" ht="23.25" x14ac:dyDescent="0.2">
      <c r="F19" s="45"/>
      <c r="G19" s="60"/>
      <c r="H19" s="60"/>
      <c r="I19" s="60"/>
      <c r="J19" s="60"/>
      <c r="K19" s="60"/>
      <c r="L19" s="60"/>
      <c r="M19" s="45"/>
    </row>
    <row r="20" spans="6:16" ht="32.25" customHeight="1" x14ac:dyDescent="0.2">
      <c r="F20" s="46"/>
      <c r="G20" s="61" t="s">
        <v>25</v>
      </c>
      <c r="H20" s="61"/>
      <c r="I20" s="47"/>
      <c r="J20" s="46"/>
      <c r="K20" s="46"/>
      <c r="L20" s="46"/>
      <c r="M20" s="46"/>
    </row>
    <row r="21" spans="6:16" ht="23.25" customHeight="1" x14ac:dyDescent="0.2">
      <c r="F21" s="54" t="s">
        <v>26</v>
      </c>
      <c r="G21" s="54"/>
      <c r="H21" s="54"/>
      <c r="I21" s="54"/>
      <c r="J21" s="54"/>
      <c r="K21" s="54"/>
      <c r="L21" s="54"/>
      <c r="M21" s="54"/>
    </row>
    <row r="22" spans="6:16" ht="15" customHeight="1" x14ac:dyDescent="0.2">
      <c r="F22" s="54"/>
      <c r="G22" s="54"/>
      <c r="H22" s="54"/>
      <c r="I22" s="54"/>
      <c r="J22" s="54"/>
      <c r="K22" s="54"/>
      <c r="L22" s="54"/>
      <c r="M22" s="54"/>
    </row>
    <row r="23" spans="6:16" ht="15" customHeight="1" x14ac:dyDescent="0.2">
      <c r="F23" s="54"/>
      <c r="G23" s="54"/>
      <c r="H23" s="54"/>
      <c r="I23" s="54"/>
      <c r="J23" s="54"/>
      <c r="K23" s="54"/>
      <c r="L23" s="54"/>
      <c r="M23" s="54"/>
    </row>
    <row r="24" spans="6:16" ht="15" customHeight="1" x14ac:dyDescent="0.2">
      <c r="F24" s="54"/>
      <c r="G24" s="54"/>
      <c r="H24" s="54"/>
      <c r="I24" s="54"/>
      <c r="J24" s="54"/>
      <c r="K24" s="54"/>
      <c r="L24" s="54"/>
      <c r="M24" s="54"/>
    </row>
    <row r="25" spans="6:16" ht="23.25" customHeight="1" x14ac:dyDescent="0.2">
      <c r="F25" s="54"/>
      <c r="G25" s="54"/>
      <c r="H25" s="54"/>
      <c r="I25" s="54"/>
      <c r="J25" s="54"/>
      <c r="K25" s="54"/>
      <c r="L25" s="54"/>
      <c r="M25" s="54"/>
    </row>
    <row r="26" spans="6:16" ht="23.25" customHeight="1" x14ac:dyDescent="0.2">
      <c r="F26" s="54"/>
      <c r="G26" s="54"/>
      <c r="H26" s="54"/>
      <c r="I26" s="54"/>
      <c r="J26" s="54"/>
      <c r="K26" s="54"/>
      <c r="L26" s="54"/>
      <c r="M26" s="54"/>
    </row>
    <row r="27" spans="6:16" ht="23.25" customHeight="1" x14ac:dyDescent="0.2">
      <c r="F27" s="54"/>
      <c r="G27" s="54"/>
      <c r="H27" s="54"/>
      <c r="I27" s="54"/>
      <c r="J27" s="54"/>
      <c r="K27" s="54"/>
      <c r="L27" s="54"/>
      <c r="M27" s="54"/>
    </row>
    <row r="28" spans="6:16" x14ac:dyDescent="0.2">
      <c r="F28" s="54"/>
      <c r="G28" s="54"/>
      <c r="H28" s="54"/>
      <c r="I28" s="54"/>
      <c r="J28" s="54"/>
      <c r="K28" s="54"/>
      <c r="L28" s="54"/>
      <c r="M28" s="54"/>
    </row>
    <row r="29" spans="6:16" x14ac:dyDescent="0.2">
      <c r="F29" s="54"/>
      <c r="G29" s="54"/>
      <c r="H29" s="54"/>
      <c r="I29" s="54"/>
      <c r="J29" s="54"/>
      <c r="K29" s="54"/>
      <c r="L29" s="54"/>
      <c r="M29" s="54"/>
    </row>
    <row r="30" spans="6:16" x14ac:dyDescent="0.2">
      <c r="F30" s="54"/>
      <c r="G30" s="54"/>
      <c r="H30" s="54"/>
      <c r="I30" s="54"/>
      <c r="J30" s="54"/>
      <c r="K30" s="54"/>
      <c r="L30" s="54"/>
      <c r="M30" s="54"/>
    </row>
    <row r="31" spans="6:16" x14ac:dyDescent="0.2">
      <c r="F31" s="54"/>
      <c r="G31" s="54"/>
      <c r="H31" s="54"/>
      <c r="I31" s="54"/>
      <c r="J31" s="54"/>
      <c r="K31" s="54"/>
      <c r="L31" s="54"/>
      <c r="M31" s="54"/>
    </row>
    <row r="32" spans="6:16" x14ac:dyDescent="0.2">
      <c r="F32" s="54"/>
      <c r="G32" s="54"/>
      <c r="H32" s="54"/>
      <c r="I32" s="54"/>
      <c r="J32" s="54"/>
      <c r="K32" s="54"/>
      <c r="L32" s="54"/>
      <c r="M32" s="54"/>
    </row>
    <row r="33" spans="6:13" x14ac:dyDescent="0.2">
      <c r="F33" s="54"/>
      <c r="G33" s="54"/>
      <c r="H33" s="54"/>
      <c r="I33" s="54"/>
      <c r="J33" s="54"/>
      <c r="K33" s="54"/>
      <c r="L33" s="54"/>
      <c r="M33" s="54"/>
    </row>
    <row r="34" spans="6:13" x14ac:dyDescent="0.2">
      <c r="F34" s="54"/>
      <c r="G34" s="54"/>
      <c r="H34" s="54"/>
      <c r="I34" s="54"/>
      <c r="J34" s="54"/>
      <c r="K34" s="54"/>
      <c r="L34" s="54"/>
      <c r="M34" s="54"/>
    </row>
  </sheetData>
  <mergeCells count="7">
    <mergeCell ref="F21:M34"/>
    <mergeCell ref="F1:J2"/>
    <mergeCell ref="F3:J6"/>
    <mergeCell ref="K4:M6"/>
    <mergeCell ref="G18:L18"/>
    <mergeCell ref="G19:L19"/>
    <mergeCell ref="G20:H20"/>
  </mergeCells>
  <phoneticPr fontId="14" type="noConversion"/>
  <conditionalFormatting sqref="M9:M16">
    <cfRule type="notContainsBlanks" dxfId="0" priority="1">
      <formula>LEN(TRIM(M9))&gt;0</formula>
    </cfRule>
  </conditionalFormatting>
  <printOptions horizontalCentered="1"/>
  <pageMargins left="0.25" right="0.25" top="0.25" bottom="0.25" header="0.24212598499999999" footer="0.25"/>
  <pageSetup paperSize="3" scale="89" orientation="landscape" r:id="rId1"/>
  <headerFooter alignWithMargins="0">
    <oddFooter>&amp;L&amp;D&amp;C&amp;F&amp;RPage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0633-2051-48D0-B12C-076A4406BFD6}">
  <dimension ref="B4:P55"/>
  <sheetViews>
    <sheetView topLeftCell="A13" zoomScaleNormal="100" workbookViewId="0">
      <selection activeCell="D15" sqref="D15"/>
    </sheetView>
  </sheetViews>
  <sheetFormatPr defaultRowHeight="12.75" x14ac:dyDescent="0.2"/>
  <cols>
    <col min="4" max="4" width="11.5703125" bestFit="1" customWidth="1"/>
    <col min="14" max="14" width="11.5703125" bestFit="1" customWidth="1"/>
  </cols>
  <sheetData>
    <row r="4" spans="2:16" ht="15" x14ac:dyDescent="0.25">
      <c r="B4" s="64" t="s">
        <v>27</v>
      </c>
      <c r="C4" s="64"/>
      <c r="D4" s="64"/>
      <c r="E4" s="64"/>
      <c r="F4" s="64"/>
      <c r="G4" s="64"/>
    </row>
    <row r="5" spans="2:16" x14ac:dyDescent="0.2">
      <c r="B5" t="s">
        <v>28</v>
      </c>
    </row>
    <row r="6" spans="2:16" x14ac:dyDescent="0.2">
      <c r="B6" t="s">
        <v>29</v>
      </c>
    </row>
    <row r="7" spans="2:16" x14ac:dyDescent="0.2">
      <c r="B7" t="s">
        <v>30</v>
      </c>
    </row>
    <row r="8" spans="2:16" x14ac:dyDescent="0.2">
      <c r="B8" t="s">
        <v>31</v>
      </c>
    </row>
    <row r="9" spans="2:16" x14ac:dyDescent="0.2">
      <c r="B9" t="s">
        <v>32</v>
      </c>
    </row>
    <row r="10" spans="2:16" x14ac:dyDescent="0.2">
      <c r="B10" t="s">
        <v>33</v>
      </c>
    </row>
    <row r="11" spans="2:16" x14ac:dyDescent="0.2">
      <c r="B11" t="s">
        <v>34</v>
      </c>
    </row>
    <row r="13" spans="2:16" ht="13.5" thickBot="1" x14ac:dyDescent="0.25"/>
    <row r="14" spans="2:16" x14ac:dyDescent="0.2">
      <c r="C14" s="65" t="s">
        <v>35</v>
      </c>
      <c r="D14" s="62"/>
      <c r="E14" s="62" t="s">
        <v>36</v>
      </c>
      <c r="F14" s="62"/>
      <c r="G14" s="62" t="s">
        <v>37</v>
      </c>
      <c r="H14" s="62"/>
      <c r="I14" s="62" t="s">
        <v>38</v>
      </c>
      <c r="J14" s="62"/>
      <c r="K14" s="62" t="s">
        <v>39</v>
      </c>
      <c r="L14" s="62"/>
      <c r="M14" s="62" t="s">
        <v>40</v>
      </c>
      <c r="N14" s="62"/>
      <c r="O14" s="62" t="s">
        <v>41</v>
      </c>
      <c r="P14" s="63"/>
    </row>
    <row r="15" spans="2:16" x14ac:dyDescent="0.2">
      <c r="C15" s="48" t="s">
        <v>35</v>
      </c>
      <c r="D15" t="str">
        <f>'661482 - Profile List (Sash)'!B9</f>
        <v>SO04866101</v>
      </c>
      <c r="E15" t="s">
        <v>36</v>
      </c>
      <c r="F15" t="str">
        <f>'661482 - Profile List (Sash)'!C9</f>
        <v>HSSTD</v>
      </c>
      <c r="G15" t="s">
        <v>37</v>
      </c>
      <c r="H15" t="str">
        <f>'661482 - Profile List (Sash)'!D9</f>
        <v>WHWH</v>
      </c>
      <c r="I15" t="s">
        <v>38</v>
      </c>
      <c r="J15" s="52" t="s">
        <v>42</v>
      </c>
      <c r="K15" t="s">
        <v>39</v>
      </c>
      <c r="L15" s="53" t="s">
        <v>43</v>
      </c>
      <c r="M15" t="s">
        <v>40</v>
      </c>
      <c r="N15" t="str">
        <f>D15</f>
        <v>SO04866101</v>
      </c>
      <c r="O15" t="s">
        <v>41</v>
      </c>
      <c r="P15" s="50"/>
    </row>
    <row r="16" spans="2:16" x14ac:dyDescent="0.2">
      <c r="C16" s="48" t="s">
        <v>35</v>
      </c>
      <c r="D16" t="str">
        <f>'661482 - Profile List (Sash)'!B10</f>
        <v>SO04866102</v>
      </c>
      <c r="E16" t="s">
        <v>36</v>
      </c>
      <c r="F16" t="str">
        <f>'661482 - Profile List (Sash)'!C10</f>
        <v>HSSTD</v>
      </c>
      <c r="G16" t="s">
        <v>37</v>
      </c>
      <c r="H16" t="str">
        <f>'661482 - Profile List (Sash)'!D10</f>
        <v>WHWH</v>
      </c>
      <c r="I16" t="s">
        <v>38</v>
      </c>
      <c r="J16" s="52" t="s">
        <v>44</v>
      </c>
      <c r="K16" t="s">
        <v>39</v>
      </c>
      <c r="L16" s="53" t="s">
        <v>43</v>
      </c>
      <c r="M16" t="s">
        <v>40</v>
      </c>
      <c r="N16" t="str">
        <f t="shared" ref="N16:N22" si="0">D16</f>
        <v>SO04866102</v>
      </c>
      <c r="O16" t="s">
        <v>41</v>
      </c>
      <c r="P16" s="51"/>
    </row>
    <row r="17" spans="3:16" x14ac:dyDescent="0.2">
      <c r="C17" s="48" t="s">
        <v>35</v>
      </c>
      <c r="D17" t="str">
        <f>'661482 - Profile List (Sash)'!B11</f>
        <v>SO04866103</v>
      </c>
      <c r="E17" t="s">
        <v>36</v>
      </c>
      <c r="F17" t="str">
        <f>'661482 - Profile List (Sash)'!C11</f>
        <v>HSSTD</v>
      </c>
      <c r="G17" t="s">
        <v>37</v>
      </c>
      <c r="H17" t="str">
        <f>'661482 - Profile List (Sash)'!D11</f>
        <v>WHWH</v>
      </c>
      <c r="I17" t="s">
        <v>38</v>
      </c>
      <c r="J17" s="52" t="s">
        <v>59</v>
      </c>
      <c r="K17" t="s">
        <v>39</v>
      </c>
      <c r="L17" s="53" t="s">
        <v>43</v>
      </c>
      <c r="M17" t="s">
        <v>40</v>
      </c>
      <c r="N17" t="str">
        <f t="shared" si="0"/>
        <v>SO04866103</v>
      </c>
      <c r="O17" t="s">
        <v>41</v>
      </c>
    </row>
    <row r="18" spans="3:16" x14ac:dyDescent="0.2">
      <c r="C18" s="48" t="s">
        <v>35</v>
      </c>
      <c r="D18" t="str">
        <f>'661482 - Profile List (Sash)'!B12</f>
        <v>SO04866104</v>
      </c>
      <c r="E18" t="s">
        <v>36</v>
      </c>
      <c r="F18" t="str">
        <f>'661482 - Profile List (Sash)'!C12</f>
        <v>SHSTD</v>
      </c>
      <c r="G18" t="s">
        <v>37</v>
      </c>
      <c r="H18" t="str">
        <f>'661482 - Profile List (Sash)'!D12</f>
        <v>WHWH</v>
      </c>
      <c r="I18" t="s">
        <v>38</v>
      </c>
      <c r="J18" s="52" t="s">
        <v>60</v>
      </c>
      <c r="K18" t="s">
        <v>39</v>
      </c>
      <c r="L18" s="53" t="s">
        <v>43</v>
      </c>
      <c r="M18" t="s">
        <v>40</v>
      </c>
      <c r="N18" t="str">
        <f t="shared" si="0"/>
        <v>SO04866104</v>
      </c>
      <c r="O18" t="s">
        <v>41</v>
      </c>
    </row>
    <row r="19" spans="3:16" x14ac:dyDescent="0.2">
      <c r="C19" s="48" t="s">
        <v>35</v>
      </c>
      <c r="D19" t="str">
        <f>'661482 - Profile List (Sash)'!B13</f>
        <v>SO04866105</v>
      </c>
      <c r="E19" t="s">
        <v>36</v>
      </c>
      <c r="F19" t="str">
        <f>'661482 - Profile List (Sash)'!C13</f>
        <v>SHSTD</v>
      </c>
      <c r="G19" t="s">
        <v>37</v>
      </c>
      <c r="H19" t="str">
        <f>'661482 - Profile List (Sash)'!D13</f>
        <v>WHWH</v>
      </c>
      <c r="I19" t="s">
        <v>38</v>
      </c>
      <c r="J19" s="52" t="s">
        <v>61</v>
      </c>
      <c r="K19" t="s">
        <v>39</v>
      </c>
      <c r="L19" s="53" t="s">
        <v>43</v>
      </c>
      <c r="M19" t="s">
        <v>40</v>
      </c>
      <c r="N19" t="str">
        <f t="shared" si="0"/>
        <v>SO04866105</v>
      </c>
      <c r="O19" t="s">
        <v>41</v>
      </c>
    </row>
    <row r="20" spans="3:16" x14ac:dyDescent="0.2">
      <c r="C20" s="48" t="s">
        <v>35</v>
      </c>
      <c r="D20" t="str">
        <f>'661482 - Profile List (Sash)'!B14</f>
        <v>SO04866106</v>
      </c>
      <c r="E20" t="s">
        <v>36</v>
      </c>
      <c r="F20" t="str">
        <f>'661482 - Profile List (Sash)'!C14</f>
        <v>SHSTD</v>
      </c>
      <c r="G20" t="s">
        <v>37</v>
      </c>
      <c r="H20" t="str">
        <f>'661482 - Profile List (Sash)'!D14</f>
        <v>WHWH</v>
      </c>
      <c r="I20" t="s">
        <v>38</v>
      </c>
      <c r="J20" s="52" t="s">
        <v>62</v>
      </c>
      <c r="K20" t="s">
        <v>39</v>
      </c>
      <c r="L20" s="53" t="s">
        <v>43</v>
      </c>
      <c r="M20" t="s">
        <v>40</v>
      </c>
      <c r="N20" t="str">
        <f t="shared" si="0"/>
        <v>SO04866106</v>
      </c>
      <c r="O20" t="s">
        <v>41</v>
      </c>
    </row>
    <row r="21" spans="3:16" x14ac:dyDescent="0.2">
      <c r="C21" s="48" t="s">
        <v>35</v>
      </c>
      <c r="D21" t="str">
        <f>'661482 - Profile List (Sash)'!B15</f>
        <v>SO04866107</v>
      </c>
      <c r="E21" t="s">
        <v>36</v>
      </c>
      <c r="F21" t="str">
        <f>'661482 - Profile List (Sash)'!C15</f>
        <v>SHSTD</v>
      </c>
      <c r="G21" t="s">
        <v>37</v>
      </c>
      <c r="H21" t="str">
        <f>'661482 - Profile List (Sash)'!D15</f>
        <v>WHWH</v>
      </c>
      <c r="I21" t="s">
        <v>38</v>
      </c>
      <c r="J21" s="52" t="s">
        <v>63</v>
      </c>
      <c r="K21" t="s">
        <v>39</v>
      </c>
      <c r="L21" s="53" t="s">
        <v>43</v>
      </c>
      <c r="M21" t="s">
        <v>40</v>
      </c>
      <c r="N21" t="str">
        <f t="shared" si="0"/>
        <v>SO04866107</v>
      </c>
      <c r="O21" t="s">
        <v>41</v>
      </c>
    </row>
    <row r="22" spans="3:16" x14ac:dyDescent="0.2">
      <c r="C22" s="48" t="s">
        <v>35</v>
      </c>
      <c r="D22" t="str">
        <f>'661482 - Profile List (Sash)'!B16</f>
        <v>SO04866108</v>
      </c>
      <c r="E22" t="s">
        <v>36</v>
      </c>
      <c r="F22" t="str">
        <f>'661482 - Profile List (Sash)'!C16</f>
        <v>SHSTD</v>
      </c>
      <c r="G22" t="s">
        <v>37</v>
      </c>
      <c r="H22" t="str">
        <f>'661482 - Profile List (Sash)'!D16</f>
        <v>WHWH</v>
      </c>
      <c r="I22" t="s">
        <v>38</v>
      </c>
      <c r="J22" s="52" t="s">
        <v>64</v>
      </c>
      <c r="K22" t="s">
        <v>39</v>
      </c>
      <c r="L22" s="53" t="s">
        <v>43</v>
      </c>
      <c r="M22" t="s">
        <v>40</v>
      </c>
      <c r="N22" t="str">
        <f t="shared" si="0"/>
        <v>SO04866108</v>
      </c>
      <c r="O22" t="s">
        <v>41</v>
      </c>
    </row>
    <row r="25" spans="3:16" x14ac:dyDescent="0.2">
      <c r="C25" t="s">
        <v>35</v>
      </c>
      <c r="D25" t="s">
        <v>47</v>
      </c>
      <c r="E25" t="s">
        <v>36</v>
      </c>
      <c r="F25" s="52" t="s">
        <v>74</v>
      </c>
      <c r="G25" t="s">
        <v>37</v>
      </c>
      <c r="H25" t="s">
        <v>58</v>
      </c>
      <c r="I25" t="s">
        <v>38</v>
      </c>
      <c r="J25" t="s">
        <v>42</v>
      </c>
      <c r="K25" t="s">
        <v>39</v>
      </c>
      <c r="L25" t="s">
        <v>43</v>
      </c>
      <c r="M25" t="s">
        <v>40</v>
      </c>
      <c r="N25" t="s">
        <v>47</v>
      </c>
      <c r="O25" t="s">
        <v>41</v>
      </c>
      <c r="P25" s="53" t="s">
        <v>77</v>
      </c>
    </row>
    <row r="26" spans="3:16" x14ac:dyDescent="0.2">
      <c r="C26" t="s">
        <v>35</v>
      </c>
      <c r="D26" t="s">
        <v>47</v>
      </c>
      <c r="E26" t="s">
        <v>36</v>
      </c>
      <c r="F26" s="52" t="s">
        <v>73</v>
      </c>
      <c r="G26" t="s">
        <v>37</v>
      </c>
      <c r="H26" t="s">
        <v>58</v>
      </c>
      <c r="I26" t="s">
        <v>38</v>
      </c>
      <c r="J26" t="s">
        <v>42</v>
      </c>
      <c r="K26" t="s">
        <v>39</v>
      </c>
      <c r="L26" t="s">
        <v>43</v>
      </c>
      <c r="M26" t="s">
        <v>40</v>
      </c>
      <c r="N26" t="s">
        <v>47</v>
      </c>
      <c r="O26" t="s">
        <v>41</v>
      </c>
      <c r="P26" s="53" t="s">
        <v>77</v>
      </c>
    </row>
    <row r="28" spans="3:16" x14ac:dyDescent="0.2">
      <c r="C28" t="s">
        <v>35</v>
      </c>
      <c r="D28" t="s">
        <v>48</v>
      </c>
      <c r="E28" t="s">
        <v>36</v>
      </c>
      <c r="F28" s="52" t="s">
        <v>74</v>
      </c>
      <c r="G28" t="s">
        <v>37</v>
      </c>
      <c r="H28" t="s">
        <v>58</v>
      </c>
      <c r="I28" t="s">
        <v>38</v>
      </c>
      <c r="J28" t="s">
        <v>44</v>
      </c>
      <c r="K28" t="s">
        <v>39</v>
      </c>
      <c r="L28" t="s">
        <v>43</v>
      </c>
      <c r="M28" t="s">
        <v>40</v>
      </c>
      <c r="N28" t="s">
        <v>48</v>
      </c>
      <c r="O28" t="s">
        <v>41</v>
      </c>
      <c r="P28" s="53" t="s">
        <v>79</v>
      </c>
    </row>
    <row r="29" spans="3:16" x14ac:dyDescent="0.2">
      <c r="C29" t="s">
        <v>35</v>
      </c>
      <c r="D29" t="s">
        <v>48</v>
      </c>
      <c r="E29" t="s">
        <v>36</v>
      </c>
      <c r="F29" s="52" t="s">
        <v>73</v>
      </c>
      <c r="G29" t="s">
        <v>37</v>
      </c>
      <c r="H29" t="s">
        <v>58</v>
      </c>
      <c r="I29" t="s">
        <v>38</v>
      </c>
      <c r="J29" t="s">
        <v>44</v>
      </c>
      <c r="K29" t="s">
        <v>39</v>
      </c>
      <c r="L29" t="s">
        <v>43</v>
      </c>
      <c r="M29" t="s">
        <v>40</v>
      </c>
      <c r="N29" t="s">
        <v>48</v>
      </c>
      <c r="O29" t="s">
        <v>41</v>
      </c>
      <c r="P29" s="53" t="s">
        <v>78</v>
      </c>
    </row>
    <row r="31" spans="3:16" x14ac:dyDescent="0.2">
      <c r="C31" t="s">
        <v>35</v>
      </c>
      <c r="D31" t="s">
        <v>49</v>
      </c>
      <c r="E31" t="s">
        <v>36</v>
      </c>
      <c r="F31" s="52" t="s">
        <v>74</v>
      </c>
      <c r="G31" t="s">
        <v>37</v>
      </c>
      <c r="H31" t="s">
        <v>58</v>
      </c>
      <c r="I31" t="s">
        <v>38</v>
      </c>
      <c r="J31" t="s">
        <v>59</v>
      </c>
      <c r="K31" t="s">
        <v>39</v>
      </c>
      <c r="L31" t="s">
        <v>43</v>
      </c>
      <c r="M31" t="s">
        <v>40</v>
      </c>
      <c r="N31" t="s">
        <v>49</v>
      </c>
      <c r="O31" t="s">
        <v>41</v>
      </c>
      <c r="P31" s="53" t="s">
        <v>81</v>
      </c>
    </row>
    <row r="32" spans="3:16" x14ac:dyDescent="0.2">
      <c r="C32" t="s">
        <v>35</v>
      </c>
      <c r="D32" t="s">
        <v>49</v>
      </c>
      <c r="E32" t="s">
        <v>36</v>
      </c>
      <c r="F32" s="52" t="s">
        <v>73</v>
      </c>
      <c r="G32" t="s">
        <v>37</v>
      </c>
      <c r="H32" t="s">
        <v>58</v>
      </c>
      <c r="I32" t="s">
        <v>38</v>
      </c>
      <c r="J32" t="s">
        <v>59</v>
      </c>
      <c r="K32" t="s">
        <v>39</v>
      </c>
      <c r="L32" t="s">
        <v>43</v>
      </c>
      <c r="M32" t="s">
        <v>40</v>
      </c>
      <c r="N32" t="s">
        <v>49</v>
      </c>
      <c r="O32" t="s">
        <v>41</v>
      </c>
      <c r="P32" s="53" t="s">
        <v>80</v>
      </c>
    </row>
    <row r="34" spans="3:16" x14ac:dyDescent="0.2">
      <c r="C34" t="s">
        <v>35</v>
      </c>
      <c r="D34" t="s">
        <v>50</v>
      </c>
      <c r="E34" t="s">
        <v>36</v>
      </c>
      <c r="F34" s="52" t="s">
        <v>69</v>
      </c>
      <c r="G34" t="s">
        <v>37</v>
      </c>
      <c r="H34" t="s">
        <v>58</v>
      </c>
      <c r="I34" t="s">
        <v>38</v>
      </c>
      <c r="J34" t="s">
        <v>60</v>
      </c>
      <c r="K34" t="s">
        <v>39</v>
      </c>
      <c r="L34" t="s">
        <v>43</v>
      </c>
      <c r="M34" t="s">
        <v>40</v>
      </c>
      <c r="N34" t="s">
        <v>50</v>
      </c>
      <c r="O34" t="s">
        <v>41</v>
      </c>
      <c r="P34" s="53" t="s">
        <v>77</v>
      </c>
    </row>
    <row r="35" spans="3:16" x14ac:dyDescent="0.2">
      <c r="C35" t="s">
        <v>35</v>
      </c>
      <c r="D35" t="s">
        <v>50</v>
      </c>
      <c r="E35" t="s">
        <v>36</v>
      </c>
      <c r="F35" s="52" t="s">
        <v>70</v>
      </c>
      <c r="G35" t="s">
        <v>37</v>
      </c>
      <c r="H35" t="s">
        <v>58</v>
      </c>
      <c r="I35" t="s">
        <v>38</v>
      </c>
      <c r="J35" t="s">
        <v>60</v>
      </c>
      <c r="K35" t="s">
        <v>39</v>
      </c>
      <c r="L35" t="s">
        <v>43</v>
      </c>
      <c r="M35" t="s">
        <v>40</v>
      </c>
      <c r="N35" t="s">
        <v>50</v>
      </c>
      <c r="O35" t="s">
        <v>41</v>
      </c>
      <c r="P35" s="53" t="s">
        <v>77</v>
      </c>
    </row>
    <row r="37" spans="3:16" x14ac:dyDescent="0.2">
      <c r="C37" t="s">
        <v>35</v>
      </c>
      <c r="D37" t="s">
        <v>51</v>
      </c>
      <c r="E37" t="s">
        <v>36</v>
      </c>
      <c r="F37" s="52" t="s">
        <v>69</v>
      </c>
      <c r="G37" t="s">
        <v>37</v>
      </c>
      <c r="H37" t="s">
        <v>58</v>
      </c>
      <c r="I37" t="s">
        <v>38</v>
      </c>
      <c r="J37" t="s">
        <v>61</v>
      </c>
      <c r="K37" t="s">
        <v>39</v>
      </c>
      <c r="L37" t="s">
        <v>43</v>
      </c>
      <c r="M37" t="s">
        <v>40</v>
      </c>
      <c r="N37" t="s">
        <v>51</v>
      </c>
      <c r="O37" t="s">
        <v>41</v>
      </c>
      <c r="P37" s="53" t="s">
        <v>82</v>
      </c>
    </row>
    <row r="38" spans="3:16" x14ac:dyDescent="0.2">
      <c r="C38" t="s">
        <v>35</v>
      </c>
      <c r="D38" t="s">
        <v>51</v>
      </c>
      <c r="E38" t="s">
        <v>36</v>
      </c>
      <c r="F38" s="52" t="s">
        <v>70</v>
      </c>
      <c r="G38" t="s">
        <v>37</v>
      </c>
      <c r="H38" t="s">
        <v>58</v>
      </c>
      <c r="I38" t="s">
        <v>38</v>
      </c>
      <c r="J38" t="s">
        <v>61</v>
      </c>
      <c r="K38" t="s">
        <v>39</v>
      </c>
      <c r="L38" t="s">
        <v>43</v>
      </c>
      <c r="M38" t="s">
        <v>40</v>
      </c>
      <c r="N38" t="s">
        <v>51</v>
      </c>
      <c r="O38" t="s">
        <v>41</v>
      </c>
      <c r="P38" s="53" t="s">
        <v>83</v>
      </c>
    </row>
    <row r="39" spans="3:16" x14ac:dyDescent="0.2">
      <c r="P39" s="49"/>
    </row>
    <row r="40" spans="3:16" x14ac:dyDescent="0.2">
      <c r="C40" t="s">
        <v>35</v>
      </c>
      <c r="D40" t="s">
        <v>52</v>
      </c>
      <c r="E40" t="s">
        <v>36</v>
      </c>
      <c r="F40" s="52" t="s">
        <v>69</v>
      </c>
      <c r="G40" t="s">
        <v>37</v>
      </c>
      <c r="H40" t="s">
        <v>58</v>
      </c>
      <c r="I40" t="s">
        <v>38</v>
      </c>
      <c r="J40" t="s">
        <v>62</v>
      </c>
      <c r="K40" t="s">
        <v>39</v>
      </c>
      <c r="L40" t="s">
        <v>43</v>
      </c>
      <c r="M40" t="s">
        <v>40</v>
      </c>
      <c r="N40" t="s">
        <v>52</v>
      </c>
      <c r="O40" t="s">
        <v>41</v>
      </c>
      <c r="P40" s="53" t="s">
        <v>84</v>
      </c>
    </row>
    <row r="41" spans="3:16" x14ac:dyDescent="0.2">
      <c r="C41" t="s">
        <v>35</v>
      </c>
      <c r="D41" t="s">
        <v>52</v>
      </c>
      <c r="E41" t="s">
        <v>36</v>
      </c>
      <c r="F41" s="52" t="s">
        <v>70</v>
      </c>
      <c r="G41" t="s">
        <v>37</v>
      </c>
      <c r="H41" t="s">
        <v>58</v>
      </c>
      <c r="I41" t="s">
        <v>38</v>
      </c>
      <c r="J41" t="s">
        <v>62</v>
      </c>
      <c r="K41" t="s">
        <v>39</v>
      </c>
      <c r="L41" t="s">
        <v>43</v>
      </c>
      <c r="M41" t="s">
        <v>40</v>
      </c>
      <c r="N41" t="s">
        <v>52</v>
      </c>
      <c r="O41" t="s">
        <v>41</v>
      </c>
      <c r="P41" s="53" t="s">
        <v>84</v>
      </c>
    </row>
    <row r="42" spans="3:16" x14ac:dyDescent="0.2">
      <c r="P42" s="49"/>
    </row>
    <row r="43" spans="3:16" x14ac:dyDescent="0.2">
      <c r="C43" t="s">
        <v>35</v>
      </c>
      <c r="D43" t="s">
        <v>53</v>
      </c>
      <c r="E43" t="s">
        <v>36</v>
      </c>
      <c r="F43" s="52" t="s">
        <v>69</v>
      </c>
      <c r="G43" t="s">
        <v>37</v>
      </c>
      <c r="H43" t="s">
        <v>58</v>
      </c>
      <c r="I43" t="s">
        <v>38</v>
      </c>
      <c r="J43" t="s">
        <v>63</v>
      </c>
      <c r="K43" t="s">
        <v>39</v>
      </c>
      <c r="L43" t="s">
        <v>43</v>
      </c>
      <c r="M43" t="s">
        <v>40</v>
      </c>
      <c r="N43" t="s">
        <v>53</v>
      </c>
      <c r="O43" t="s">
        <v>41</v>
      </c>
      <c r="P43" s="53" t="s">
        <v>85</v>
      </c>
    </row>
    <row r="44" spans="3:16" x14ac:dyDescent="0.2">
      <c r="C44" t="s">
        <v>35</v>
      </c>
      <c r="D44" t="s">
        <v>53</v>
      </c>
      <c r="E44" t="s">
        <v>36</v>
      </c>
      <c r="F44" s="52" t="s">
        <v>70</v>
      </c>
      <c r="G44" t="s">
        <v>37</v>
      </c>
      <c r="H44" t="s">
        <v>58</v>
      </c>
      <c r="I44" t="s">
        <v>38</v>
      </c>
      <c r="J44" t="s">
        <v>63</v>
      </c>
      <c r="K44" t="s">
        <v>39</v>
      </c>
      <c r="L44" t="s">
        <v>43</v>
      </c>
      <c r="M44" t="s">
        <v>40</v>
      </c>
      <c r="N44" t="s">
        <v>53</v>
      </c>
      <c r="O44" t="s">
        <v>41</v>
      </c>
      <c r="P44" s="53" t="s">
        <v>86</v>
      </c>
    </row>
    <row r="45" spans="3:16" x14ac:dyDescent="0.2">
      <c r="P45" s="49"/>
    </row>
    <row r="46" spans="3:16" x14ac:dyDescent="0.2">
      <c r="C46" t="s">
        <v>35</v>
      </c>
      <c r="D46" t="s">
        <v>54</v>
      </c>
      <c r="E46" t="s">
        <v>36</v>
      </c>
      <c r="F46" s="52" t="s">
        <v>69</v>
      </c>
      <c r="G46" t="s">
        <v>37</v>
      </c>
      <c r="H46" t="s">
        <v>58</v>
      </c>
      <c r="I46" t="s">
        <v>38</v>
      </c>
      <c r="J46" t="s">
        <v>64</v>
      </c>
      <c r="K46" t="s">
        <v>39</v>
      </c>
      <c r="L46" t="s">
        <v>43</v>
      </c>
      <c r="M46" t="s">
        <v>40</v>
      </c>
      <c r="N46" t="s">
        <v>54</v>
      </c>
      <c r="O46" t="s">
        <v>41</v>
      </c>
      <c r="P46" s="53" t="s">
        <v>81</v>
      </c>
    </row>
    <row r="47" spans="3:16" x14ac:dyDescent="0.2">
      <c r="C47" t="s">
        <v>35</v>
      </c>
      <c r="D47" t="s">
        <v>54</v>
      </c>
      <c r="E47" t="s">
        <v>36</v>
      </c>
      <c r="F47" s="52" t="s">
        <v>70</v>
      </c>
      <c r="G47" t="s">
        <v>37</v>
      </c>
      <c r="H47" t="s">
        <v>58</v>
      </c>
      <c r="I47" t="s">
        <v>38</v>
      </c>
      <c r="J47" t="s">
        <v>64</v>
      </c>
      <c r="K47" t="s">
        <v>39</v>
      </c>
      <c r="L47" t="s">
        <v>43</v>
      </c>
      <c r="M47" t="s">
        <v>40</v>
      </c>
      <c r="N47" t="s">
        <v>54</v>
      </c>
      <c r="O47" t="s">
        <v>41</v>
      </c>
      <c r="P47" s="53" t="s">
        <v>81</v>
      </c>
    </row>
    <row r="48" spans="3:16" x14ac:dyDescent="0.2">
      <c r="P48" s="49"/>
    </row>
    <row r="49" spans="16:16" x14ac:dyDescent="0.2">
      <c r="P49" s="49"/>
    </row>
    <row r="50" spans="16:16" x14ac:dyDescent="0.2">
      <c r="P50" s="49"/>
    </row>
    <row r="51" spans="16:16" x14ac:dyDescent="0.2">
      <c r="P51" s="49"/>
    </row>
    <row r="52" spans="16:16" x14ac:dyDescent="0.2">
      <c r="P52" s="49"/>
    </row>
    <row r="53" spans="16:16" x14ac:dyDescent="0.2">
      <c r="P53" s="49"/>
    </row>
    <row r="54" spans="16:16" x14ac:dyDescent="0.2">
      <c r="P54" s="49"/>
    </row>
    <row r="55" spans="16:16" x14ac:dyDescent="0.2">
      <c r="P55" s="49"/>
    </row>
  </sheetData>
  <mergeCells count="8">
    <mergeCell ref="M14:N14"/>
    <mergeCell ref="O14:P14"/>
    <mergeCell ref="B4:G4"/>
    <mergeCell ref="C14:D14"/>
    <mergeCell ref="E14:F14"/>
    <mergeCell ref="G14:H14"/>
    <mergeCell ref="I14:J14"/>
    <mergeCell ref="K14:L14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3D89-09C5-41FD-A86C-B2D6003E5E16}">
  <dimension ref="C5:E14"/>
  <sheetViews>
    <sheetView workbookViewId="0">
      <selection activeCell="F16" sqref="F16"/>
    </sheetView>
  </sheetViews>
  <sheetFormatPr defaultRowHeight="12.75" x14ac:dyDescent="0.2"/>
  <cols>
    <col min="3" max="3" width="10.85546875" bestFit="1" customWidth="1"/>
    <col min="4" max="4" width="23.140625" customWidth="1"/>
  </cols>
  <sheetData>
    <row r="5" spans="3:5" x14ac:dyDescent="0.2">
      <c r="C5" s="52" t="s">
        <v>57</v>
      </c>
      <c r="D5" s="52" t="s">
        <v>65</v>
      </c>
    </row>
    <row r="6" spans="3:5" x14ac:dyDescent="0.2">
      <c r="C6" s="52" t="s">
        <v>69</v>
      </c>
      <c r="D6" s="52" t="s">
        <v>75</v>
      </c>
    </row>
    <row r="7" spans="3:5" x14ac:dyDescent="0.2">
      <c r="C7" s="52" t="s">
        <v>70</v>
      </c>
      <c r="D7" s="52" t="s">
        <v>76</v>
      </c>
    </row>
    <row r="8" spans="3:5" x14ac:dyDescent="0.2">
      <c r="C8" s="52" t="s">
        <v>66</v>
      </c>
      <c r="D8" s="52" t="s">
        <v>67</v>
      </c>
    </row>
    <row r="9" spans="3:5" x14ac:dyDescent="0.2">
      <c r="C9" s="52" t="s">
        <v>71</v>
      </c>
      <c r="D9" s="52" t="s">
        <v>75</v>
      </c>
    </row>
    <row r="10" spans="3:5" x14ac:dyDescent="0.2">
      <c r="C10" s="52" t="s">
        <v>72</v>
      </c>
      <c r="D10" s="52" t="s">
        <v>76</v>
      </c>
    </row>
    <row r="11" spans="3:5" x14ac:dyDescent="0.2">
      <c r="C11" s="52" t="s">
        <v>56</v>
      </c>
      <c r="D11" s="52" t="s">
        <v>68</v>
      </c>
    </row>
    <row r="12" spans="3:5" x14ac:dyDescent="0.2">
      <c r="C12" s="52" t="s">
        <v>73</v>
      </c>
      <c r="D12" s="52" t="s">
        <v>75</v>
      </c>
    </row>
    <row r="13" spans="3:5" x14ac:dyDescent="0.2">
      <c r="C13" s="52" t="s">
        <v>89</v>
      </c>
      <c r="D13" s="52" t="s">
        <v>76</v>
      </c>
      <c r="E13" t="s">
        <v>87</v>
      </c>
    </row>
    <row r="14" spans="3:5" x14ac:dyDescent="0.2">
      <c r="C14" s="52" t="s">
        <v>90</v>
      </c>
      <c r="D14" s="52" t="s">
        <v>76</v>
      </c>
      <c r="E1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661482 - Profile List (Sash)</vt:lpstr>
      <vt:lpstr>Sheet1</vt:lpstr>
      <vt:lpstr>Sheet2</vt:lpstr>
      <vt:lpstr>'661482 - Profile List (Sash)'!Print_Area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Grubb</dc:creator>
  <cp:lastModifiedBy>Joseph W Amaya</cp:lastModifiedBy>
  <cp:lastPrinted>2025-08-19T12:48:43Z</cp:lastPrinted>
  <dcterms:created xsi:type="dcterms:W3CDTF">2025-06-30T14:47:53Z</dcterms:created>
  <dcterms:modified xsi:type="dcterms:W3CDTF">2025-08-25T16:01:30Z</dcterms:modified>
</cp:coreProperties>
</file>
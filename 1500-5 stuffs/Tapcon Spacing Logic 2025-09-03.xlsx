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varocwsfiles001\tarthur$\My Documents\Projects\Completed Projects\Project 26 - JAG SH\Tapcon Spacing\"/>
    </mc:Choice>
  </mc:AlternateContent>
  <xr:revisionPtr revIDLastSave="0" documentId="8_{470167DC-98A5-4A13-B433-EFC96E80829A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SH Head Logic" sheetId="2" r:id="rId1"/>
    <sheet name="SH Jamb Logic" sheetId="3" r:id="rId2"/>
    <sheet name="HS Logic" sheetId="6" r:id="rId3"/>
    <sheet name="FW Logic" sheetId="5" r:id="rId4"/>
  </sheets>
  <definedNames>
    <definedName name="FW_Adjusted1" localSheetId="3">'FW Logic'!$F$7</definedName>
    <definedName name="FW_Adjusted2">'FW Logic'!$F$8</definedName>
    <definedName name="FW_Corner1">'FW Logic'!$C$7</definedName>
    <definedName name="FW_Cumm1">'FW Logic'!$G$7</definedName>
    <definedName name="FW_Cumm2">'FW Logic'!$G$8</definedName>
    <definedName name="FW_HoleFreq1">'FW Logic'!$E$7</definedName>
    <definedName name="FW_HoleFreq2">'FW Logic'!$E$8</definedName>
    <definedName name="FW_MaxOC1">'FW Logic'!$D$7</definedName>
    <definedName name="FW_UnitHeight">'FW Logic'!$B$8</definedName>
    <definedName name="FW_UnitWidth">'FW Logic'!$B$7</definedName>
    <definedName name="HS_Adjusted1" localSheetId="2">'HS Logic'!$F$7</definedName>
    <definedName name="HS_Adjusted2">'HS Logic'!$F$8</definedName>
    <definedName name="HS_Corner1">'HS Logic'!$C$7</definedName>
    <definedName name="HS_Corner2">'HS Logic'!$C$8</definedName>
    <definedName name="HS_Cumm1">'HS Logic'!$G$7</definedName>
    <definedName name="HS_Cumm2">'HS Logic'!$G$8</definedName>
    <definedName name="HS_HoleFreq1">'HS Logic'!$E$7</definedName>
    <definedName name="HS_HoleFreq2" localSheetId="2">'HS Logic'!$E$8</definedName>
    <definedName name="HS_MaxOC1" localSheetId="2">'HS Logic'!$D$7</definedName>
    <definedName name="HS_OCMax2">'HS Logic'!$D$8</definedName>
    <definedName name="HS_UnitHeight" localSheetId="2">'HS Logic'!$B$8</definedName>
    <definedName name="HS_UnitHeight">'HS Logic'!$B$8</definedName>
    <definedName name="HS_UnitWidth">'HS Logic'!$B$7</definedName>
    <definedName name="SHHead_Adjusted1">'SH Head Logic'!$F$7</definedName>
    <definedName name="SHHead_Adjusted2">'SH Head Logic'!$F$8</definedName>
    <definedName name="SHHead_Adjusted3">'SH Head Logic'!$F$9</definedName>
    <definedName name="SHHead_Corner1">'SH Head Logic'!$C$7</definedName>
    <definedName name="SHHead_Corner2">'SH Head Logic'!$C$8</definedName>
    <definedName name="SHHead_Corner3">'SH Head Logic'!$C$9</definedName>
    <definedName name="SHHead_Cumm1">'SH Head Logic'!$G$7</definedName>
    <definedName name="SHHead_Cumm2">'SH Head Logic'!$G$8</definedName>
    <definedName name="SHHead_Cumm3">'SH Head Logic'!$G$9</definedName>
    <definedName name="SHHead_HoleFreq1">'SH Head Logic'!$E$7</definedName>
    <definedName name="SHHead_HoleFreq2">'SH Head Logic'!$E$8</definedName>
    <definedName name="SHHead_HoleFreq3">'SH Head Logic'!$E$9</definedName>
    <definedName name="SHHead_MaxOC1">'SH Head Logic'!$D$7</definedName>
    <definedName name="SHHead_MaxOC2">'SH Head Logic'!$D$8</definedName>
    <definedName name="SHHead_MaxOC3">'SH Head Logic'!$D$9</definedName>
    <definedName name="SHHead_UnitWidth1">'SH Head Logic'!$B$7</definedName>
    <definedName name="SHHead_UnitWidth2">'SH Head Logic'!$B$8</definedName>
    <definedName name="SHHead_UnitWidth3">'SH Head Logic'!$B$9</definedName>
    <definedName name="SHJamb_Adjusted1">'SH Jamb Logic'!$G$7</definedName>
    <definedName name="SHJamb_Adjusted2">'SH Jamb Logic'!$G$8</definedName>
    <definedName name="SHJamb_Corner1">'SH Jamb Logic'!$D$7</definedName>
    <definedName name="SHJamb_Corner2">'SH Jamb Logic'!$D$8</definedName>
    <definedName name="SHJamb_Cumm1">'SH Jamb Logic'!$H$7</definedName>
    <definedName name="SHJamb_Cumm2">'SH Jamb Logic'!$H$8</definedName>
    <definedName name="SHJamb_HoleFreq1">'SH Jamb Logic'!$F$7</definedName>
    <definedName name="SHJamb_HoleFreq2">'SH Jamb Logic'!$F$8</definedName>
    <definedName name="SHJamb_MaxOC1">'SH Jamb Logic'!$E$7</definedName>
    <definedName name="SHJamb_MaxOC2">'SH Jamb Logic'!$E$8</definedName>
    <definedName name="SHJamb_SashHeight1">'SH Jamb Logic'!$C$7</definedName>
    <definedName name="SHJamb_UnitHeight1">'SH Jamb Logic'!$B$7</definedName>
    <definedName name="SHJambCumm1">'SH Jamb Logic'!$H$7</definedName>
    <definedName name="SHJambCumm2">'SH Jamb Logic'!$H$8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6" l="1"/>
  <c r="E22" i="6" s="1"/>
  <c r="F22" i="6" s="1"/>
  <c r="G22" i="6" s="1"/>
  <c r="H22" i="6"/>
  <c r="I22" i="6"/>
  <c r="J22" i="6"/>
  <c r="K22" i="6"/>
  <c r="L22" i="6"/>
  <c r="M22" i="6"/>
  <c r="N22" i="6"/>
  <c r="O22" i="6"/>
  <c r="P22" i="6"/>
  <c r="C22" i="6"/>
  <c r="B18" i="6"/>
  <c r="E8" i="6"/>
  <c r="E7" i="6"/>
  <c r="G7" i="6" s="1"/>
  <c r="C8" i="6"/>
  <c r="C7" i="6"/>
  <c r="F7" i="6" s="1"/>
  <c r="C7" i="5"/>
  <c r="B18" i="5" s="1"/>
  <c r="D8" i="5"/>
  <c r="D9" i="2"/>
  <c r="D8" i="2"/>
  <c r="D7" i="2"/>
  <c r="C9" i="2"/>
  <c r="C8" i="2"/>
  <c r="C7" i="2"/>
  <c r="B19" i="2" s="1"/>
  <c r="C18" i="6" l="1"/>
  <c r="P18" i="6"/>
  <c r="D18" i="6"/>
  <c r="E18" i="6" s="1"/>
  <c r="F18" i="6"/>
  <c r="G18" i="6"/>
  <c r="H18" i="6"/>
  <c r="I18" i="6"/>
  <c r="J18" i="6"/>
  <c r="K18" i="6"/>
  <c r="L18" i="6"/>
  <c r="M18" i="6"/>
  <c r="N18" i="6"/>
  <c r="O18" i="6"/>
  <c r="G8" i="6"/>
  <c r="F8" i="6"/>
  <c r="B22" i="6"/>
  <c r="C8" i="5"/>
  <c r="B22" i="5"/>
  <c r="E8" i="5"/>
  <c r="G8" i="5" s="1"/>
  <c r="E7" i="5"/>
  <c r="E8" i="2"/>
  <c r="F8" i="2" s="1"/>
  <c r="E9" i="2"/>
  <c r="F9" i="2" s="1"/>
  <c r="E7" i="2"/>
  <c r="F7" i="2" s="1"/>
  <c r="B20" i="3"/>
  <c r="F7" i="3"/>
  <c r="C8" i="3"/>
  <c r="B8" i="3"/>
  <c r="E8" i="3"/>
  <c r="F8" i="3" s="1"/>
  <c r="G8" i="3" s="1"/>
  <c r="F7" i="5" l="1"/>
  <c r="F8" i="5"/>
  <c r="C22" i="5" s="1"/>
  <c r="D22" i="5" s="1"/>
  <c r="E22" i="5" s="1"/>
  <c r="F22" i="5" s="1"/>
  <c r="G22" i="5" s="1"/>
  <c r="H22" i="5" s="1"/>
  <c r="O22" i="5"/>
  <c r="P22" i="5"/>
  <c r="I22" i="5"/>
  <c r="J22" i="5"/>
  <c r="K22" i="5"/>
  <c r="L22" i="5"/>
  <c r="M22" i="5"/>
  <c r="N22" i="5"/>
  <c r="G7" i="5"/>
  <c r="H7" i="3"/>
  <c r="H8" i="3" s="1"/>
  <c r="G7" i="2"/>
  <c r="G8" i="2" s="1"/>
  <c r="G9" i="2" s="1"/>
  <c r="G7" i="3"/>
  <c r="C20" i="3" s="1"/>
  <c r="D20" i="3" s="1"/>
  <c r="K18" i="5" l="1"/>
  <c r="L18" i="5"/>
  <c r="G18" i="5"/>
  <c r="O18" i="5"/>
  <c r="H18" i="5"/>
  <c r="P18" i="5"/>
  <c r="I18" i="5"/>
  <c r="C18" i="5"/>
  <c r="D18" i="5" s="1"/>
  <c r="E18" i="5" s="1"/>
  <c r="F18" i="5" s="1"/>
  <c r="M18" i="5"/>
  <c r="N18" i="5"/>
  <c r="J18" i="5"/>
  <c r="E20" i="3"/>
  <c r="F20" i="3" s="1"/>
  <c r="G20" i="3" s="1"/>
  <c r="H20" i="3" s="1"/>
  <c r="I20" i="3" s="1"/>
  <c r="J20" i="3" s="1"/>
  <c r="K20" i="3" s="1"/>
  <c r="L20" i="3"/>
  <c r="P20" i="3"/>
  <c r="M20" i="3"/>
  <c r="O20" i="3"/>
  <c r="N20" i="3"/>
  <c r="O19" i="2" l="1"/>
  <c r="L19" i="2"/>
  <c r="E19" i="2"/>
  <c r="C19" i="2"/>
  <c r="D19" i="2" s="1"/>
  <c r="M19" i="2" l="1"/>
  <c r="N19" i="2"/>
  <c r="P19" i="2"/>
  <c r="F19" i="2"/>
  <c r="G19" i="2" s="1"/>
  <c r="H19" i="2" s="1"/>
  <c r="I19" i="2"/>
  <c r="J19" i="2" s="1"/>
  <c r="K19" i="2" s="1"/>
</calcChain>
</file>

<file path=xl/sharedStrings.xml><?xml version="1.0" encoding="utf-8"?>
<sst xmlns="http://schemas.openxmlformats.org/spreadsheetml/2006/main" count="169" uniqueCount="90">
  <si>
    <t>Unit Width</t>
  </si>
  <si>
    <t>Unit Height</t>
  </si>
  <si>
    <t>Hole Frequency</t>
  </si>
  <si>
    <t>Max O.C. Spacing</t>
  </si>
  <si>
    <t>Corner Spacing</t>
  </si>
  <si>
    <t>Adjusted O.C. Spacing</t>
  </si>
  <si>
    <t>Schedule Driven</t>
  </si>
  <si>
    <t>Unit 1 Width</t>
  </si>
  <si>
    <t>Segment 1</t>
  </si>
  <si>
    <t>Unit 2 Width</t>
  </si>
  <si>
    <t>Unit 3 Width</t>
  </si>
  <si>
    <t>Cummulative Holes</t>
  </si>
  <si>
    <t>Hole #</t>
  </si>
  <si>
    <t>Hole Location</t>
  </si>
  <si>
    <t>Segment 2</t>
  </si>
  <si>
    <t>Sash Height</t>
  </si>
  <si>
    <t>Hole Frequency = ROUNDUP(((SHJamb_UnitHeight1-(SHJamb_SashHeight1+3.3125+11)-SHJamb_Corner1)/SHJamb_MaxOC1)+1,0)</t>
  </si>
  <si>
    <t xml:space="preserve">Adjusted O.C. Spacing = FLOOR(((SHJamb_UnitHeight1-(SHJamb_SashHeight1+11.3125)-SHJamb_Corner1)/(SHJamb_HoleFreq1-1)),0.0625) </t>
  </si>
  <si>
    <t>Segment 1:</t>
  </si>
  <si>
    <t>Segment 2:</t>
  </si>
  <si>
    <t>Hole Frequency = ROUNDUP((((SHJamb_SashHeight1+3.3125)-SHJamb_Corner2)/SHJamb_MaxOC2)+1,0)</t>
  </si>
  <si>
    <t xml:space="preserve">Adjusted O.C. Spacing = FLOOR((((SHJamb_SashHeight1+3.3125)-SHJamb_Corner2)/(SHJamb_HoleFreq2-1)),0.0625) </t>
  </si>
  <si>
    <t>Decision 1</t>
  </si>
  <si>
    <t>Decision 2</t>
  </si>
  <si>
    <t>Decision 3</t>
  </si>
  <si>
    <t>Decision 4</t>
  </si>
  <si>
    <t>Decision 5</t>
  </si>
  <si>
    <t>Decision 6</t>
  </si>
  <si>
    <t>Decision 7</t>
  </si>
  <si>
    <t>Decision 8</t>
  </si>
  <si>
    <t>Decision 9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</si>
  <si>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SHJamb_Corner1, </t>
    </r>
    <r>
      <rPr>
        <sz val="11"/>
        <color theme="3" tint="0.39997558519241921"/>
        <rFont val="Calibri"/>
        <family val="2"/>
        <scheme val="minor"/>
      </rPr>
      <t>ELSE</t>
    </r>
  </si>
  <si>
    <t>END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</si>
  <si>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&lt;= SHJamb_Cumm1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SHJamb_Adjusted1,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</si>
  <si>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SHJamb_Cumm1 + 1</t>
    </r>
    <r>
      <rPr>
        <sz val="11"/>
        <color theme="3" tint="0.39997558519241921"/>
        <rFont val="Calibri"/>
        <family val="2"/>
        <scheme val="minor"/>
      </rPr>
      <t xml:space="preserve"> THEN</t>
    </r>
    <r>
      <rPr>
        <sz val="11"/>
        <color theme="1"/>
        <rFont val="Calibri"/>
        <family val="2"/>
        <scheme val="minor"/>
      </rPr>
      <t xml:space="preserve"> SHJamb_UnitHeight1 - (SHJamb_SashHeight1 + 3.3125),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</si>
  <si>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SHJamb_Cumm1 + 1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SHJamb_Cumm2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SHJamb_Adjusted2, </t>
    </r>
    <r>
      <rPr>
        <sz val="11"/>
        <color theme="3" tint="0.39997558519241921"/>
        <rFont val="Calibri"/>
        <family val="2"/>
        <scheme val="minor"/>
      </rPr>
      <t>ELSE</t>
    </r>
  </si>
  <si>
    <t>1500 SH Jamb Pre-Drilled Tapcon Hole Logic</t>
  </si>
  <si>
    <t>Use on all Operating Single Hung Jambs and Integral Mull Frame Jambs (Integral Mull Post does NOT require pre-drilling)</t>
  </si>
  <si>
    <r>
      <t xml:space="preserve">Head </t>
    </r>
    <r>
      <rPr>
        <sz val="11"/>
        <color theme="1"/>
        <rFont val="Calibri"/>
        <family val="2"/>
      </rPr>
      <t>→</t>
    </r>
    <r>
      <rPr>
        <sz val="11"/>
        <color theme="1"/>
        <rFont val="Calibri"/>
        <family val="2"/>
        <scheme val="minor"/>
      </rPr>
      <t xml:space="preserve"> Sill</t>
    </r>
  </si>
  <si>
    <t xml:space="preserve">Segment 1 is defined as the span above the constant force balance dimples [SashHeight + 3.3125 + 11] in order to eliminate potential interference with constant force balance clip </t>
  </si>
  <si>
    <t xml:space="preserve">Segment 2 is defined as the span starting ~ 2" above the meeting rail [SashHeight + 3.3125] to the sill </t>
  </si>
  <si>
    <t>Constants (PE Defined)</t>
  </si>
  <si>
    <t>Logic Calculation</t>
  </si>
  <si>
    <t>→</t>
  </si>
  <si>
    <t>Hole Location Validation</t>
  </si>
  <si>
    <t>Equations and Decision Path</t>
  </si>
  <si>
    <t>Not used when jamb profile is used to make a Fixed Window</t>
  </si>
  <si>
    <t>1500 SH Head Pre-Drilled Tapcon Hole Logic</t>
  </si>
  <si>
    <t xml:space="preserve">Use on all Operating Single Hung Heads and Integral Mull Frame Heads </t>
  </si>
  <si>
    <t>Hole Frequency = ROUNDUP(((SHHead_UnitWidth1-2*SHHead_Corner1)/SHHead_MaxOC1)+1,0)</t>
  </si>
  <si>
    <t>Adjusted O.C. Spacing = FLOOR(((SHHead_UnitWidth1-2*SHHead_Corner1)/(SHHead_HoleFreq1-1)), 0.0625)</t>
  </si>
  <si>
    <t>Unit 1:</t>
  </si>
  <si>
    <t>Unit 2:</t>
  </si>
  <si>
    <t>Hole Frequency = ROUNDUP(((SHHead_UnitWidth2-2*SHHead_Corner2)/SHHead_MaxOC2)+1,0)</t>
  </si>
  <si>
    <t>Adjusted O.C. Spacing = FLOOR(((SHHead_UnitWidth2-2*SHHead_Corner2)/(SHHead_HoleFreq2-1)), 0.0625)</t>
  </si>
  <si>
    <t>Unit 3:</t>
  </si>
  <si>
    <t>Hole Frequency = ROUNDUP(((SHHead_UnitWidth3-2*SHHead_Corner3)/SHHead_MaxOC3)+1,0)</t>
  </si>
  <si>
    <t>Adjusted O.C. Spacing = FLOOR(((SHHead_UnitWidth3-2*SHHead_Corner3)/(SHHead_HoleFreq3-1)), 0.0635)</t>
  </si>
  <si>
    <r>
      <t xml:space="preserve">Left </t>
    </r>
    <r>
      <rPr>
        <sz val="11"/>
        <color theme="1"/>
        <rFont val="Calibri"/>
        <family val="2"/>
      </rPr>
      <t>→ Right (ISLO)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</si>
  <si>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SHHead_Corner1,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</si>
  <si>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&lt;= SHHead_Cumm1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SHHead_Adjusted1,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</si>
  <si>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SHHead_Cumm1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SHHead_UnitWidth2 = NULL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END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</si>
  <si>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SHHead_Cumm1 + 1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SHHead_UnitWidth1+SHHead_Corner2, </t>
    </r>
    <r>
      <rPr>
        <sz val="11"/>
        <color theme="3" tint="0.39997558519241921"/>
        <rFont val="Calibri"/>
        <family val="2"/>
        <scheme val="minor"/>
      </rPr>
      <t xml:space="preserve">ELSE 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</si>
  <si>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SHHead_Cumm1 + 1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SHHead_Cumm2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SHHead_Adjusted2,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</si>
  <si>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SHHead_Cumm2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SHHead_UnitWidth3 = NULL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>END</t>
    </r>
    <r>
      <rPr>
        <sz val="11"/>
        <color theme="1"/>
        <rFont val="Calibri"/>
        <family val="2"/>
        <scheme val="minor"/>
      </rPr>
      <t xml:space="preserve">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</si>
  <si>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SHHead_Cumm2+1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SHHead_UnitWidth1 + SHHead_UnitWidth2 + SHHead_Corner3,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</si>
  <si>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SHHead_Cumm2+1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B18 &lt;= SHHead_Cumm3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SHHead_Cumm3 &lt;&gt; NULL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SHHead_Adjusted3,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</si>
  <si>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SHHead_Cumm3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SHHead_Cumm3 &lt;&gt; NULL, </t>
    </r>
    <r>
      <rPr>
        <sz val="11"/>
        <color rgb="FFFF0000"/>
        <rFont val="Calibri"/>
        <family val="2"/>
        <scheme val="minor"/>
      </rPr>
      <t>END</t>
    </r>
  </si>
  <si>
    <t>1500 FW Pre-Drilled Tapcon Hole Logic</t>
  </si>
  <si>
    <t xml:space="preserve">Use on all Fixed Windows </t>
  </si>
  <si>
    <t>Hole Frequency = ROUNDUP(((FW_UnitWidth-2*FW_Corner1)/FW_MaxOC1)+1,0)</t>
  </si>
  <si>
    <t>Adjusted O.C. Spacing = FLOOR(((FW_UnitWidth-2*FW_Corner1)/(FW_HoleFreq1-1)), 0.0625)</t>
  </si>
  <si>
    <t>Unit Width: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</si>
  <si>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FW_Cumm1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FW_Adjusted1, </t>
    </r>
    <r>
      <rPr>
        <sz val="11"/>
        <color theme="3" tint="0.39997558519241921"/>
        <rFont val="Calibri"/>
        <family val="2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</si>
  <si>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FW_Corner1, </t>
    </r>
    <r>
      <rPr>
        <sz val="11"/>
        <color theme="3" tint="0.39997558519241921"/>
        <rFont val="Calibri"/>
        <family val="2"/>
        <scheme val="minor"/>
      </rPr>
      <t>ELSE</t>
    </r>
  </si>
  <si>
    <t>Jamb</t>
  </si>
  <si>
    <t>Head</t>
  </si>
  <si>
    <t>Unit Height:</t>
  </si>
  <si>
    <t>Hole Frequency = ROUNDUP(((FW_UnitHeight-2*FW_Corner1)/FW_MaxOC1)+1,0)</t>
  </si>
  <si>
    <t>Adjusted O.C. Spacing = FLOOR(((FW_UnitHeight-2*FW_Corner1)/(FW_HoleFreq2-1)), 0.0625)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</si>
  <si>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FW_Cumm2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FW_Adjusted2, </t>
    </r>
    <r>
      <rPr>
        <sz val="11"/>
        <color theme="3" tint="0.39997558519241921"/>
        <rFont val="Calibri"/>
        <family val="2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</si>
  <si>
    <t>Hole Frequency = ROUNDUP(((HS_UnitWidth-2*HS_Corner1)/HS_MaxOC1)+1,0)</t>
  </si>
  <si>
    <t>Adjusted O.C. Spacing = FLOOR(((HS_UnitWidth-2*HS_Corner1)/(HS_HoleFreq1-1)), 0.0625)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</si>
  <si>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= 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HS_Corner1, </t>
    </r>
    <r>
      <rPr>
        <sz val="11"/>
        <color theme="3" tint="0.39997558519241921"/>
        <rFont val="Calibri"/>
        <family val="2"/>
        <scheme val="minor"/>
      </rPr>
      <t>ELSE</t>
    </r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</si>
  <si>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HS_Cumm1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HS_Adjusted1, </t>
    </r>
    <r>
      <rPr>
        <sz val="11"/>
        <color theme="3" tint="0.39997558519241921"/>
        <rFont val="Calibri"/>
        <family val="2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</si>
  <si>
    <t>Hole Frequency = ROUNDUP(((HS_UnitHeight-2*HS_Corner1)/HS_MaxOC2)+1,0)</t>
  </si>
  <si>
    <t>Adjusted O.C. Spacing = FLOOR(((HS_UnitHeight-2*HS_Corner1)/(HS_HoleFreq2-1)), 0.0625)</t>
  </si>
  <si>
    <r>
      <rPr>
        <sz val="11"/>
        <color theme="3" tint="0.3999755851924192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Hole# &gt; 1 </t>
    </r>
    <r>
      <rPr>
        <sz val="11"/>
        <color theme="3" tint="0.39997558519241921"/>
        <rFont val="Calibri"/>
        <family val="2"/>
        <scheme val="minor"/>
      </rPr>
      <t>AND</t>
    </r>
    <r>
      <rPr>
        <sz val="11"/>
        <color theme="1"/>
        <rFont val="Calibri"/>
        <family val="2"/>
        <scheme val="minor"/>
      </rPr>
      <t xml:space="preserve"> Hole# &lt;= HS_Cumm2 </t>
    </r>
    <r>
      <rPr>
        <sz val="11"/>
        <color theme="3" tint="0.39997558519241921"/>
        <rFont val="Calibri"/>
        <family val="2"/>
        <scheme val="minor"/>
      </rPr>
      <t>THEN</t>
    </r>
    <r>
      <rPr>
        <sz val="11"/>
        <color theme="1"/>
        <rFont val="Calibri"/>
        <family val="2"/>
        <scheme val="minor"/>
      </rPr>
      <t xml:space="preserve"> Previous Hole Location + HS_Adjusted2, </t>
    </r>
    <r>
      <rPr>
        <sz val="11"/>
        <color theme="3" tint="0.39997558519241921"/>
        <rFont val="Calibri"/>
        <family val="2"/>
        <scheme val="minor"/>
      </rPr>
      <t>ELSE</t>
    </r>
    <r>
      <rPr>
        <sz val="11"/>
        <color theme="1"/>
        <rFont val="Calibri"/>
        <family val="2"/>
        <scheme val="minor"/>
      </rPr>
      <t xml:space="preserve"> </t>
    </r>
  </si>
  <si>
    <t>Use on all Horizontal Sliders</t>
  </si>
  <si>
    <t>1500 HS Pre-Drilled Tapcon Hole Logic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</si>
</sst>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theme="1"/>
      <name val="Calibri"/>
      <family val="2"/>
    </font>
    <font>
      <i/>
      <sz val="11"/>
      <color theme="1"/>
      <name val="Calibri"/>
      <family val="2"/>
      <scheme val="minor"/>
    </font>
    <font>
      <sz val="11"/>
      <color theme="3" tint="0.3999450666829432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textRotation="90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/>
    <xf numFmtId="0" fontId="5" fillId="0" borderId="0" xfId="0" applyFont="1"/>
    <xf numFmtId="0" fontId="0" fillId="5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7" borderId="0" xfId="0" applyFill="1"/>
    <xf numFmtId="0" fontId="0" fillId="0" borderId="2" xfId="0" applyBorder="1"/>
    <xf numFmtId="0" fontId="6" fillId="0" borderId="2" xfId="0" applyFont="1" applyBorder="1"/>
    <xf numFmtId="0" fontId="0" fillId="5" borderId="1" xfId="0" applyFill="1" applyBorder="1"/>
    <xf numFmtId="0" fontId="0" fillId="7" borderId="1" xfId="0" applyFill="1" applyBorder="1"/>
    <xf numFmtId="0" fontId="0" fillId="3" borderId="1" xfId="0" applyFill="1" applyBorder="1"/>
    <xf numFmtId="0" fontId="0" fillId="0" borderId="1" xfId="0" applyBorder="1" applyAlignment="1">
      <alignment horizontal="center" textRotation="90"/>
    </xf>
    <xf numFmtId="0" fontId="0" fillId="5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2" borderId="1" xfId="0" applyFill="1" applyBorder="1"/>
    <xf numFmtId="0" fontId="0" fillId="4" borderId="1" xfId="0" applyFill="1" applyBorder="1"/>
    <xf numFmtId="0" fontId="0" fillId="6" borderId="1" xfId="0" applyFill="1" applyBorder="1"/>
    <xf numFmtId="0" fontId="6" fillId="0" borderId="0" xfId="0" applyFont="1"/>
    <xf numFmtId="0" fontId="0" fillId="0" borderId="0" xfId="0" applyAlignment="1">
      <alignment horizontal="left"/>
    </xf>
    <xf numFmtId="0" fontId="7" fillId="0" borderId="0" xfId="0" applyFont="1"/>
    <xf numFmtId="0" fontId="3" fillId="0" borderId="0" xfId="0" applyFont="1"/>
  </cellXfs>
  <cellStyles count="1">
    <cellStyle name="Normal" xfId="0" builtinId="0"/>
  </cellStyles>
  <dxfs count="19">
    <dxf>
      <fill>
        <patternFill>
          <bgColor theme="6" tint="0.39994506668294322"/>
        </patternFill>
      </fill>
    </dxf>
    <dxf>
      <fill>
        <patternFill patternType="lightUp"/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lightUp"/>
      </fill>
    </dxf>
    <dxf>
      <fill>
        <patternFill>
          <bgColor theme="6" tint="0.39994506668294322"/>
        </patternFill>
      </fill>
    </dxf>
    <dxf>
      <fill>
        <patternFill patternType="lightUp"/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lightUp"/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lightDown"/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9" tint="0.39994506668294322"/>
        </patternFill>
      </fill>
    </dxf>
    <dxf>
      <fill>
        <patternFill patternType="lightUp"/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"/>
  <sheetViews>
    <sheetView zoomScale="75" zoomScaleNormal="75" workbookViewId="0">
      <selection activeCell="E11" sqref="E11"/>
    </sheetView>
  </sheetViews>
  <sheetFormatPr defaultRowHeight="14.4" x14ac:dyDescent="0.3"/>
  <cols>
    <col min="1" max="1" width="21.6640625" customWidth="1"/>
    <col min="2" max="16" width="8.88671875" customWidth="1"/>
  </cols>
  <sheetData>
    <row r="1" spans="1:27" x14ac:dyDescent="0.3">
      <c r="A1" s="2" t="s">
        <v>47</v>
      </c>
    </row>
    <row r="2" spans="1:27" x14ac:dyDescent="0.3">
      <c r="A2" t="s">
        <v>48</v>
      </c>
    </row>
    <row r="3" spans="1:27" x14ac:dyDescent="0.3">
      <c r="A3" t="s">
        <v>46</v>
      </c>
    </row>
    <row r="5" spans="1:2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01.4" x14ac:dyDescent="0.3">
      <c r="B6" s="21" t="s">
        <v>0</v>
      </c>
      <c r="C6" s="21" t="s">
        <v>4</v>
      </c>
      <c r="D6" s="21" t="s">
        <v>3</v>
      </c>
      <c r="E6" s="21" t="s">
        <v>2</v>
      </c>
      <c r="F6" s="21" t="s">
        <v>5</v>
      </c>
      <c r="G6" s="21" t="s">
        <v>11</v>
      </c>
    </row>
    <row r="7" spans="1:27" x14ac:dyDescent="0.3">
      <c r="A7" s="25" t="s">
        <v>7</v>
      </c>
      <c r="B7" s="22">
        <v>32</v>
      </c>
      <c r="C7" s="23">
        <f>IF(SHHead_UnitWidth1="","",6)</f>
        <v>6</v>
      </c>
      <c r="D7" s="23">
        <f>IF(SHHead_UnitWidth1="","",10)</f>
        <v>10</v>
      </c>
      <c r="E7" s="24">
        <f>IF(SHHead_UnitWidth1="","",ROUNDUP(((SHHead_UnitWidth1-2*SHHead_Corner1)/SHHead_MaxOC1)+1,0))</f>
        <v>3</v>
      </c>
      <c r="F7" s="24">
        <f>IF(SHHead_UnitWidth1="","",FLOOR(((SHHead_UnitWidth1-2*SHHead_Corner1)/(SHHead_HoleFreq1-1)), 0.0625))</f>
        <v>10</v>
      </c>
      <c r="G7" s="24">
        <f>IF(SHHead_UnitWidth1="","",SHHead_HoleFreq1)</f>
        <v>3</v>
      </c>
    </row>
    <row r="8" spans="1:27" x14ac:dyDescent="0.3">
      <c r="A8" s="26" t="s">
        <v>9</v>
      </c>
      <c r="B8" s="22">
        <v>36</v>
      </c>
      <c r="C8" s="23">
        <f>IF(SHHead_UnitWidth2="","",6)</f>
        <v>6</v>
      </c>
      <c r="D8" s="23">
        <f>IF(SHHead_UnitWidth2="","",10)</f>
        <v>10</v>
      </c>
      <c r="E8" s="24">
        <f>IF(SHHead_UnitWidth2="","",ROUNDUP(((SHHead_UnitWidth2-2*SHHead_Corner2)/SHHead_MaxOC2)+1,0))</f>
        <v>4</v>
      </c>
      <c r="F8" s="24">
        <f>IF(SHHead_UnitWidth2="","",FLOOR(((SHHead_UnitWidth2-2*SHHead_Corner2)/(SHHead_HoleFreq2-1)), 0.0625))</f>
        <v>8</v>
      </c>
      <c r="G8" s="24">
        <f>IF(SHHead_UnitWidth2="","",SHHead_Cumm1+SHHead_HoleFreq2)</f>
        <v>7</v>
      </c>
    </row>
    <row r="9" spans="1:27" x14ac:dyDescent="0.3">
      <c r="A9" s="27" t="s">
        <v>10</v>
      </c>
      <c r="B9" s="22">
        <v>32</v>
      </c>
      <c r="C9" s="23">
        <f>IF(SHHead_UnitWidth3="","",6)</f>
        <v>6</v>
      </c>
      <c r="D9" s="23">
        <f>IF(SHHead_UnitWidth3="","",10)</f>
        <v>10</v>
      </c>
      <c r="E9" s="24">
        <f>IF(SHHead_UnitWidth3="","",ROUNDUP(((SHHead_UnitWidth3-2*SHHead_Corner3)/SHHead_MaxOC3)+1,0))</f>
        <v>3</v>
      </c>
      <c r="F9" s="24">
        <f>IF(SHHead_UnitWidth3="","",FLOOR(((SHHead_UnitWidth3-2*SHHead_Corner3)/(SHHead_HoleFreq3-1)), 0.0625))</f>
        <v>10</v>
      </c>
      <c r="G9" s="24">
        <f>IF(SHHead_UnitWidth3="","",SHHead_Cumm2+SHHead_HoleFreq3)</f>
        <v>10</v>
      </c>
    </row>
    <row r="11" spans="1:27" x14ac:dyDescent="0.3">
      <c r="A11" s="18" t="s">
        <v>6</v>
      </c>
    </row>
    <row r="12" spans="1:27" x14ac:dyDescent="0.3">
      <c r="A12" s="19" t="s">
        <v>41</v>
      </c>
    </row>
    <row r="13" spans="1:27" x14ac:dyDescent="0.3">
      <c r="A13" s="20" t="s">
        <v>42</v>
      </c>
    </row>
    <row r="14" spans="1:27" x14ac:dyDescent="0.3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</row>
    <row r="15" spans="1:27" x14ac:dyDescent="0.3">
      <c r="A15" s="17" t="s">
        <v>44</v>
      </c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 x14ac:dyDescent="0.3">
      <c r="A16" s="28"/>
    </row>
    <row r="17" spans="1:27" x14ac:dyDescent="0.3">
      <c r="B17" s="29" t="s">
        <v>58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18" spans="1:27" x14ac:dyDescent="0.3">
      <c r="A18" s="1" t="s">
        <v>12</v>
      </c>
      <c r="B18" s="3">
        <v>1</v>
      </c>
      <c r="C18" s="3">
        <v>2</v>
      </c>
      <c r="D18" s="3">
        <v>3</v>
      </c>
      <c r="E18" s="3">
        <v>4</v>
      </c>
      <c r="F18" s="3">
        <v>5</v>
      </c>
      <c r="G18" s="3">
        <v>6</v>
      </c>
      <c r="H18" s="3">
        <v>7</v>
      </c>
      <c r="I18" s="3">
        <v>8</v>
      </c>
      <c r="J18" s="3">
        <v>9</v>
      </c>
      <c r="K18" s="3">
        <v>10</v>
      </c>
      <c r="L18" s="3">
        <v>11</v>
      </c>
      <c r="M18" s="3">
        <v>12</v>
      </c>
      <c r="N18" s="3">
        <v>13</v>
      </c>
      <c r="O18" s="3">
        <v>14</v>
      </c>
      <c r="P18" s="3">
        <v>15</v>
      </c>
    </row>
    <row r="19" spans="1:27" x14ac:dyDescent="0.3">
      <c r="A19" s="1" t="s">
        <v>13</v>
      </c>
      <c r="B19" s="3">
        <f t="shared" ref="B19:P19" si="0">IF(B18=1,SHHead_Corner1,IF(B18&lt;=SHHead_Cumm1,A19+SHHead_Adjusted1,IF(B18=SHHead_Cumm1+1,SHHead_UnitWidth1+SHHead_Corner2,IF(AND(B18&gt;SHHead_Cumm1+1, B18&lt;=SHHead_Cumm2), A19+SHHead_Adjusted2,IF(AND(SHHead_Cumm3="",B18&gt;SHHead_Cumm2),"",IF(B18=SHHead_Cumm2+1,SHHead_UnitWidth1+SHHead_UnitWidth2+SHHead_Corner3,IF(AND(B18&gt;SHHead_Cumm2+1, B18&lt;=SHHead_Cumm3, SHHead_Cumm3&lt;&gt;""),A19+SHHead_Adjusted3,IF(AND(B18&gt;SHHead_Cumm3, SHHead_Cumm3&lt;&gt;""),""))))))))</f>
        <v>6</v>
      </c>
      <c r="C19" s="3">
        <f t="shared" si="0"/>
        <v>16</v>
      </c>
      <c r="D19" s="3">
        <f t="shared" si="0"/>
        <v>26</v>
      </c>
      <c r="E19" s="3">
        <f t="shared" si="0"/>
        <v>38</v>
      </c>
      <c r="F19" s="3">
        <f t="shared" si="0"/>
        <v>46</v>
      </c>
      <c r="G19" s="3">
        <f t="shared" si="0"/>
        <v>54</v>
      </c>
      <c r="H19" s="3">
        <f t="shared" si="0"/>
        <v>62</v>
      </c>
      <c r="I19" s="3">
        <f t="shared" si="0"/>
        <v>74</v>
      </c>
      <c r="J19" s="3">
        <f t="shared" si="0"/>
        <v>84</v>
      </c>
      <c r="K19" s="3">
        <f t="shared" si="0"/>
        <v>94</v>
      </c>
      <c r="L19" s="3" t="str">
        <f t="shared" si="0"/>
        <v/>
      </c>
      <c r="M19" s="3" t="str">
        <f t="shared" si="0"/>
        <v/>
      </c>
      <c r="N19" s="3" t="str">
        <f t="shared" si="0"/>
        <v/>
      </c>
      <c r="O19" s="3" t="str">
        <f t="shared" si="0"/>
        <v/>
      </c>
      <c r="P19" s="3" t="str">
        <f t="shared" si="0"/>
        <v/>
      </c>
    </row>
    <row r="22" spans="1:27" x14ac:dyDescent="0.3">
      <c r="A22" s="17" t="s">
        <v>45</v>
      </c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  <c r="AA22" s="16"/>
    </row>
    <row r="24" spans="1:27" x14ac:dyDescent="0.3">
      <c r="A24" t="s">
        <v>51</v>
      </c>
    </row>
    <row r="25" spans="1:27" x14ac:dyDescent="0.3">
      <c r="A25" t="s">
        <v>49</v>
      </c>
    </row>
    <row r="26" spans="1:27" x14ac:dyDescent="0.3">
      <c r="A26" t="s">
        <v>50</v>
      </c>
    </row>
    <row r="28" spans="1:27" x14ac:dyDescent="0.3">
      <c r="A28" t="s">
        <v>52</v>
      </c>
    </row>
    <row r="29" spans="1:27" x14ac:dyDescent="0.3">
      <c r="A29" t="s">
        <v>53</v>
      </c>
    </row>
    <row r="30" spans="1:27" x14ac:dyDescent="0.3">
      <c r="A30" t="s">
        <v>54</v>
      </c>
    </row>
    <row r="32" spans="1:27" x14ac:dyDescent="0.3">
      <c r="A32" t="s">
        <v>55</v>
      </c>
      <c r="W32" s="30"/>
    </row>
    <row r="33" spans="1:2" x14ac:dyDescent="0.3">
      <c r="A33" t="s">
        <v>56</v>
      </c>
    </row>
    <row r="34" spans="1:2" x14ac:dyDescent="0.3">
      <c r="A34" t="s">
        <v>57</v>
      </c>
    </row>
    <row r="37" spans="1:2" x14ac:dyDescent="0.3">
      <c r="A37" t="s">
        <v>22</v>
      </c>
      <c r="B37" t="s">
        <v>59</v>
      </c>
    </row>
    <row r="38" spans="1:2" x14ac:dyDescent="0.3">
      <c r="A38" t="s">
        <v>23</v>
      </c>
      <c r="B38" t="s">
        <v>60</v>
      </c>
    </row>
    <row r="39" spans="1:2" x14ac:dyDescent="0.3">
      <c r="A39" t="s">
        <v>24</v>
      </c>
      <c r="B39" t="s">
        <v>61</v>
      </c>
    </row>
    <row r="40" spans="1:2" x14ac:dyDescent="0.3">
      <c r="A40" t="s">
        <v>25</v>
      </c>
      <c r="B40" t="s">
        <v>62</v>
      </c>
    </row>
    <row r="41" spans="1:2" x14ac:dyDescent="0.3">
      <c r="A41" t="s">
        <v>26</v>
      </c>
      <c r="B41" t="s">
        <v>63</v>
      </c>
    </row>
    <row r="42" spans="1:2" x14ac:dyDescent="0.3">
      <c r="A42" t="s">
        <v>27</v>
      </c>
      <c r="B42" t="s">
        <v>64</v>
      </c>
    </row>
    <row r="43" spans="1:2" x14ac:dyDescent="0.3">
      <c r="A43" t="s">
        <v>28</v>
      </c>
      <c r="B43" t="s">
        <v>65</v>
      </c>
    </row>
    <row r="44" spans="1:2" x14ac:dyDescent="0.3">
      <c r="A44" t="s">
        <v>29</v>
      </c>
      <c r="B44" t="s">
        <v>66</v>
      </c>
    </row>
    <row r="45" spans="1:2" x14ac:dyDescent="0.3">
      <c r="A45" t="s">
        <v>30</v>
      </c>
      <c r="B45" t="s">
        <v>67</v>
      </c>
    </row>
  </sheetData>
  <conditionalFormatting sqref="B18:P19">
    <cfRule type="expression" dxfId="18" priority="9">
      <formula>B$19=""</formula>
    </cfRule>
    <cfRule type="expression" dxfId="17" priority="10">
      <formula>B$19&lt;$B$7</formula>
    </cfRule>
    <cfRule type="expression" dxfId="16" priority="11">
      <formula>B$19&lt;$B$7+$B$8</formula>
    </cfRule>
    <cfRule type="expression" dxfId="15" priority="12">
      <formula>B$19&lt;$B$7+$B$8+$B$9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8"/>
  <sheetViews>
    <sheetView zoomScale="75" zoomScaleNormal="75" workbookViewId="0">
      <selection activeCell="L41" sqref="L41"/>
    </sheetView>
  </sheetViews>
  <sheetFormatPr defaultRowHeight="14.4" x14ac:dyDescent="0.3"/>
  <cols>
    <col min="1" max="1" width="21.6640625" customWidth="1"/>
  </cols>
  <sheetData>
    <row r="1" spans="1:27" x14ac:dyDescent="0.3">
      <c r="A1" s="2" t="s">
        <v>36</v>
      </c>
    </row>
    <row r="2" spans="1:27" x14ac:dyDescent="0.3">
      <c r="A2" t="s">
        <v>37</v>
      </c>
    </row>
    <row r="3" spans="1:27" x14ac:dyDescent="0.3">
      <c r="A3" t="s">
        <v>46</v>
      </c>
    </row>
    <row r="5" spans="1:2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01.4" x14ac:dyDescent="0.3">
      <c r="B6" s="5" t="s">
        <v>1</v>
      </c>
      <c r="C6" s="5" t="s">
        <v>15</v>
      </c>
      <c r="D6" s="5" t="s">
        <v>4</v>
      </c>
      <c r="E6" s="5" t="s">
        <v>3</v>
      </c>
      <c r="F6" s="5" t="s">
        <v>2</v>
      </c>
      <c r="G6" s="5" t="s">
        <v>5</v>
      </c>
      <c r="H6" s="5" t="s">
        <v>11</v>
      </c>
    </row>
    <row r="7" spans="1:27" x14ac:dyDescent="0.3">
      <c r="A7" s="6" t="s">
        <v>8</v>
      </c>
      <c r="B7" s="12">
        <v>71.5</v>
      </c>
      <c r="C7" s="12">
        <v>35</v>
      </c>
      <c r="D7" s="13">
        <v>6</v>
      </c>
      <c r="E7" s="13">
        <v>11.75</v>
      </c>
      <c r="F7" s="14">
        <f>ROUNDUP(((SHJamb_UnitHeight1-(SHJamb_SashHeight1+3.3125+11)-SHJamb_Corner1)/SHJamb_MaxOC1)+1,0)</f>
        <v>3</v>
      </c>
      <c r="G7" s="14">
        <f>FLOOR(((SHJamb_UnitHeight1-(SHJamb_SashHeight1+11.3125)-SHJamb_Corner1)/(SHJamb_HoleFreq1-1)),0.0625)</f>
        <v>9.5625</v>
      </c>
      <c r="H7" s="14">
        <f>SHJamb_HoleFreq1</f>
        <v>3</v>
      </c>
      <c r="I7" s="11" t="s">
        <v>43</v>
      </c>
      <c r="J7" t="s">
        <v>39</v>
      </c>
    </row>
    <row r="8" spans="1:27" x14ac:dyDescent="0.3">
      <c r="A8" s="8" t="s">
        <v>14</v>
      </c>
      <c r="B8" s="12">
        <f>SHJamb_UnitHeight1</f>
        <v>71.5</v>
      </c>
      <c r="C8" s="12">
        <f>SHJamb_SashHeight1</f>
        <v>35</v>
      </c>
      <c r="D8" s="13">
        <v>6</v>
      </c>
      <c r="E8" s="13">
        <f>SHJamb_MaxOC1</f>
        <v>11.75</v>
      </c>
      <c r="F8" s="14">
        <f>ROUNDUP((((SHJamb_SashHeight1+3.3125)-SHJamb_Corner2)/SHJamb_MaxOC2)+1,0)</f>
        <v>4</v>
      </c>
      <c r="G8" s="14">
        <f>FLOOR((((SHJamb_SashHeight1+3.3125)-SHJamb_Corner2)/(SHJamb_HoleFreq2-1)),0.0625)</f>
        <v>10.75</v>
      </c>
      <c r="H8" s="14">
        <f>SHJamb_Cumm1+SHJamb_HoleFreq2</f>
        <v>7</v>
      </c>
      <c r="I8" s="11" t="s">
        <v>43</v>
      </c>
      <c r="J8" t="s">
        <v>40</v>
      </c>
    </row>
    <row r="10" spans="1:27" x14ac:dyDescent="0.3">
      <c r="A10" s="9" t="s">
        <v>6</v>
      </c>
    </row>
    <row r="11" spans="1:27" x14ac:dyDescent="0.3">
      <c r="A11" s="15" t="s">
        <v>41</v>
      </c>
    </row>
    <row r="12" spans="1:27" x14ac:dyDescent="0.3">
      <c r="A12" s="7" t="s">
        <v>42</v>
      </c>
    </row>
    <row r="16" spans="1:27" x14ac:dyDescent="0.3">
      <c r="A16" s="17" t="s">
        <v>44</v>
      </c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8" spans="1:27" x14ac:dyDescent="0.3">
      <c r="B18" t="s">
        <v>38</v>
      </c>
    </row>
    <row r="19" spans="1:27" x14ac:dyDescent="0.3">
      <c r="A19" s="1" t="s">
        <v>12</v>
      </c>
      <c r="B19" s="3">
        <v>1</v>
      </c>
      <c r="C19" s="3">
        <v>2</v>
      </c>
      <c r="D19" s="3">
        <v>3</v>
      </c>
      <c r="E19" s="3">
        <v>4</v>
      </c>
      <c r="F19" s="3">
        <v>5</v>
      </c>
      <c r="G19" s="3">
        <v>6</v>
      </c>
      <c r="H19" s="3">
        <v>7</v>
      </c>
      <c r="I19" s="3">
        <v>8</v>
      </c>
      <c r="J19" s="3">
        <v>9</v>
      </c>
      <c r="K19" s="3">
        <v>10</v>
      </c>
      <c r="L19" s="3">
        <v>11</v>
      </c>
      <c r="M19" s="3">
        <v>12</v>
      </c>
      <c r="N19" s="3">
        <v>13</v>
      </c>
      <c r="O19" s="3">
        <v>14</v>
      </c>
      <c r="P19" s="3">
        <v>15</v>
      </c>
    </row>
    <row r="20" spans="1:27" x14ac:dyDescent="0.3">
      <c r="A20" s="1" t="s">
        <v>13</v>
      </c>
      <c r="B20" s="3">
        <f t="shared" ref="B20:K20" si="0">IF(B19=1, SHJamb_Corner1, IF(B19&lt;=SHJamb_Cumm1, A20+SHJamb_Adjusted1, IF(B19=SHJamb_Cumm1+1, SHJamb_UnitHeight1-(SHJamb_SashHeight1+3.3125), IF(AND(B19&gt;SHJamb_Cumm1+1, B19&lt;=SHJamb_Cumm2), A20+SHJamb_Adjusted2, IF(B19&gt;SHJamb_Cumm2, "")))))</f>
        <v>6</v>
      </c>
      <c r="C20" s="3">
        <f t="shared" si="0"/>
        <v>15.5625</v>
      </c>
      <c r="D20" s="3">
        <f t="shared" si="0"/>
        <v>25.125</v>
      </c>
      <c r="E20" s="3">
        <f t="shared" si="0"/>
        <v>33.1875</v>
      </c>
      <c r="F20" s="3">
        <f t="shared" si="0"/>
        <v>43.9375</v>
      </c>
      <c r="G20" s="3">
        <f t="shared" si="0"/>
        <v>54.6875</v>
      </c>
      <c r="H20" s="3">
        <f t="shared" si="0"/>
        <v>65.4375</v>
      </c>
      <c r="I20" s="3" t="str">
        <f t="shared" si="0"/>
        <v/>
      </c>
      <c r="J20" s="3" t="str">
        <f t="shared" si="0"/>
        <v/>
      </c>
      <c r="K20" s="3" t="str">
        <f t="shared" si="0"/>
        <v/>
      </c>
      <c r="L20" s="3" t="str">
        <f>IF(L19=1, SHJamb_Corner1, IF(L19&lt;=SHJamb_Cumm1, K20+SHJamb_Adjusted1, IF(L19=SHJamb_Cumm1+1, SHJamb_UnitHeight-(SHJamb_SashHeight+3.3125), IF(AND(L19&gt;SHJamb_Cumm1+1, L19&lt;=SHJamb_Cumm2), K20+SHJamb_Adjusted2, IF(L19&gt;SHJamb_Cumm2, "")))))</f>
        <v/>
      </c>
      <c r="M20" s="3" t="str">
        <f>IF(M19=1, SHJamb_Corner1, IF(M19&lt;=SHJamb_Cumm1, L20+SHJamb_Adjusted1, IF(M19=SHJamb_Cumm1+1, SHJamb_UnitHeight-(SHJamb_SashHeight+3.3125), IF(AND(M19&gt;SHJamb_Cumm1+1, M19&lt;=SHJamb_Cumm2), L20+SHJamb_Adjusted2, IF(M19&gt;SHJamb_Cumm2, "")))))</f>
        <v/>
      </c>
      <c r="N20" s="3" t="str">
        <f>IF(N19=1, SHJamb_Corner1, IF(N19&lt;=SHJamb_Cumm1, M20+SHJamb_Adjusted1, IF(N19=SHJamb_Cumm1+1, SHJamb_UnitHeight-(SHJamb_SashHeight+3.3125), IF(AND(N19&gt;SHJamb_Cumm1+1, N19&lt;=SHJamb_Cumm2), M20+SHJamb_Adjusted2, IF(N19&gt;SHJamb_Cumm2, "")))))</f>
        <v/>
      </c>
      <c r="O20" s="3" t="str">
        <f>IF(O19=1, SHJamb_Corner1, IF(O19&lt;=SHJamb_Cumm1, N20+SHJamb_Adjusted1, IF(O19=SHJamb_Cumm1+1, SHJamb_UnitHeight-(SHJamb_SashHeight+3.3125), IF(AND(O19&gt;SHJamb_Cumm1+1, O19&lt;=SHJamb_Cumm2), N20+SHJamb_Adjusted2, IF(O19&gt;SHJamb_Cumm2, "")))))</f>
        <v/>
      </c>
      <c r="P20" s="3" t="str">
        <f>IF(P19=1, SHJamb_Corner1, IF(P19&lt;=SHJamb_Cumm1, O20+SHJamb_Adjusted1, IF(P19=SHJamb_Cumm1+1, SHJamb_UnitHeight-(SHJamb_SashHeight+3.3125), IF(AND(P19&gt;SHJamb_Cumm1+1, P19&lt;=SHJamb_Cumm2), O20+SHJamb_Adjusted2, IF(P19&gt;SHJamb_Cumm2, "")))))</f>
        <v/>
      </c>
    </row>
    <row r="23" spans="1:27" x14ac:dyDescent="0.3">
      <c r="A23" s="17" t="s">
        <v>45</v>
      </c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</row>
    <row r="25" spans="1:27" x14ac:dyDescent="0.3">
      <c r="A25" t="s">
        <v>18</v>
      </c>
    </row>
    <row r="26" spans="1:27" x14ac:dyDescent="0.3">
      <c r="A26" t="s">
        <v>16</v>
      </c>
    </row>
    <row r="27" spans="1:27" x14ac:dyDescent="0.3">
      <c r="A27" t="s">
        <v>17</v>
      </c>
    </row>
    <row r="29" spans="1:27" x14ac:dyDescent="0.3">
      <c r="A29" t="s">
        <v>19</v>
      </c>
    </row>
    <row r="30" spans="1:27" x14ac:dyDescent="0.3">
      <c r="A30" t="s">
        <v>20</v>
      </c>
    </row>
    <row r="31" spans="1:27" x14ac:dyDescent="0.3">
      <c r="A31" t="s">
        <v>21</v>
      </c>
    </row>
    <row r="34" spans="1:2" x14ac:dyDescent="0.3">
      <c r="A34" t="s">
        <v>22</v>
      </c>
      <c r="B34" t="s">
        <v>31</v>
      </c>
    </row>
    <row r="35" spans="1:2" x14ac:dyDescent="0.3">
      <c r="A35" t="s">
        <v>23</v>
      </c>
      <c r="B35" t="s">
        <v>33</v>
      </c>
    </row>
    <row r="36" spans="1:2" x14ac:dyDescent="0.3">
      <c r="A36" t="s">
        <v>24</v>
      </c>
      <c r="B36" t="s">
        <v>34</v>
      </c>
    </row>
    <row r="37" spans="1:2" x14ac:dyDescent="0.3">
      <c r="A37" t="s">
        <v>25</v>
      </c>
      <c r="B37" t="s">
        <v>35</v>
      </c>
    </row>
    <row r="38" spans="1:2" x14ac:dyDescent="0.3">
      <c r="A38" t="s">
        <v>26</v>
      </c>
      <c r="B38" s="10" t="s">
        <v>32</v>
      </c>
    </row>
  </sheetData>
  <conditionalFormatting sqref="B19:P20">
    <cfRule type="expression" dxfId="14" priority="1">
      <formula>B$20=""</formula>
    </cfRule>
    <cfRule type="expression" dxfId="13" priority="2">
      <formula>B$19&lt;=$H$7</formula>
    </cfRule>
    <cfRule type="expression" dxfId="12" priority="3">
      <formula>AND(B$19&gt;$H$7,B$19&lt;=$H$8)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41"/>
  <sheetViews>
    <sheetView tabSelected="1" zoomScale="75" zoomScaleNormal="75" workbookViewId="0">
      <selection activeCell="Q36" sqref="Q36"/>
    </sheetView>
  </sheetViews>
  <sheetFormatPr defaultRowHeight="14.4" x14ac:dyDescent="0.3"/>
  <cols>
    <col min="1" max="1" width="21.6640625" customWidth="1"/>
    <col min="2" max="16" width="8.88671875" customWidth="1"/>
  </cols>
  <sheetData>
    <row r="1" spans="1:27" x14ac:dyDescent="0.3">
      <c r="A1" s="2" t="s">
        <v>89</v>
      </c>
    </row>
    <row r="2" spans="1:27" x14ac:dyDescent="0.3">
      <c r="A2" t="s">
        <v>88</v>
      </c>
    </row>
    <row r="5" spans="1:2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01.4" x14ac:dyDescent="0.3">
      <c r="B6" s="21" t="s">
        <v>0</v>
      </c>
      <c r="C6" s="21" t="s">
        <v>4</v>
      </c>
      <c r="D6" s="21" t="s">
        <v>3</v>
      </c>
      <c r="E6" s="21" t="s">
        <v>2</v>
      </c>
      <c r="F6" s="21" t="s">
        <v>5</v>
      </c>
      <c r="G6" s="21" t="s">
        <v>11</v>
      </c>
    </row>
    <row r="7" spans="1:27" x14ac:dyDescent="0.3">
      <c r="A7" s="25" t="s">
        <v>0</v>
      </c>
      <c r="B7" s="22">
        <v>56</v>
      </c>
      <c r="C7" s="23">
        <f>IF(HS_UnitWidth="","",6)</f>
        <v>6</v>
      </c>
      <c r="D7" s="23">
        <v>16</v>
      </c>
      <c r="E7" s="24">
        <f>IF(HS_UnitWidth="","",ROUNDUP(((HS_UnitWidth-2*HS_Corner1)/HS_MaxOC1)+1,0))</f>
        <v>4</v>
      </c>
      <c r="F7" s="24">
        <f>IF(HS_UnitWidth="","",FLOOR(((HS_UnitWidth-2*HS_Corner1)/(HS_HoleFreq1-1)), 0.0625))</f>
        <v>14.625</v>
      </c>
      <c r="G7" s="24">
        <f>IF(HS_UnitWidth="","",HS_HoleFreq1)</f>
        <v>4</v>
      </c>
    </row>
    <row r="8" spans="1:27" x14ac:dyDescent="0.3">
      <c r="A8" s="26" t="s">
        <v>1</v>
      </c>
      <c r="B8" s="22">
        <v>71.5</v>
      </c>
      <c r="C8" s="23">
        <f>HS_Corner1</f>
        <v>6</v>
      </c>
      <c r="D8" s="23">
        <v>14</v>
      </c>
      <c r="E8" s="24">
        <f>IF(HS_UnitHeight="","",ROUNDUP(((HS_UnitHeight-2*HS_Corner1)/HS_OCMax2)+1,0))</f>
        <v>6</v>
      </c>
      <c r="F8" s="24">
        <f>IF(HS_UnitHeight="","",FLOOR(((HS_UnitHeight-2*FW_Corner1)/(HS_HoleFreq2-1)), 0.0625))</f>
        <v>11.875</v>
      </c>
      <c r="G8" s="24">
        <f>IF(HS_UnitHeight="","",HS_HoleFreq2)</f>
        <v>6</v>
      </c>
    </row>
    <row r="10" spans="1:27" x14ac:dyDescent="0.3">
      <c r="A10" s="18" t="s">
        <v>6</v>
      </c>
    </row>
    <row r="11" spans="1:27" x14ac:dyDescent="0.3">
      <c r="A11" s="19" t="s">
        <v>41</v>
      </c>
    </row>
    <row r="12" spans="1:27" x14ac:dyDescent="0.3">
      <c r="A12" s="20" t="s">
        <v>42</v>
      </c>
    </row>
    <row r="13" spans="1:27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7" x14ac:dyDescent="0.3">
      <c r="A14" s="17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3">
      <c r="A15" s="28"/>
    </row>
    <row r="16" spans="1:27" x14ac:dyDescent="0.3">
      <c r="A16" t="s">
        <v>76</v>
      </c>
      <c r="B16" s="29" t="s">
        <v>58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7" x14ac:dyDescent="0.3">
      <c r="A17" s="1" t="s">
        <v>12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</row>
    <row r="18" spans="1:27" x14ac:dyDescent="0.3">
      <c r="A18" s="1" t="s">
        <v>13</v>
      </c>
      <c r="B18" s="3">
        <f t="shared" ref="B18:P18" si="0">IF(B17=1, HS_Corner1, IF(AND(B17&gt;1, B17&lt;=HS_Cumm1), A18+HS_Adjusted1, ""))</f>
        <v>6</v>
      </c>
      <c r="C18" s="3">
        <f t="shared" si="0"/>
        <v>20.625</v>
      </c>
      <c r="D18" s="3">
        <f t="shared" si="0"/>
        <v>35.25</v>
      </c>
      <c r="E18" s="3">
        <f t="shared" si="0"/>
        <v>49.875</v>
      </c>
      <c r="F18" s="3" t="str">
        <f t="shared" si="0"/>
        <v/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</row>
    <row r="20" spans="1:27" x14ac:dyDescent="0.3">
      <c r="A20" t="s">
        <v>75</v>
      </c>
      <c r="B20" s="29" t="s">
        <v>58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7" x14ac:dyDescent="0.3">
      <c r="A21" s="1" t="s">
        <v>12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  <c r="N21" s="3">
        <v>13</v>
      </c>
      <c r="O21" s="3">
        <v>14</v>
      </c>
      <c r="P21" s="3">
        <v>15</v>
      </c>
    </row>
    <row r="22" spans="1:27" x14ac:dyDescent="0.3">
      <c r="A22" s="1" t="s">
        <v>13</v>
      </c>
      <c r="B22" s="3">
        <f t="shared" ref="B22:P22" si="1">IF(B21=1, FW_Corner1, IF(AND(B21&gt;1, B21&lt;=FW_Cumm2), A22+FW_Adjusted2, ""))</f>
        <v>6</v>
      </c>
      <c r="C22" s="3">
        <f>IF(C21=1, HS_Corner2, IF(AND(C21&gt;1, C21&lt;=HS_Cumm2), B22+HS_Adjusted2, ""))</f>
        <v>17.875</v>
      </c>
      <c r="D22" s="3">
        <f>IF(D21=1, HS_Corner2, IF(AND(D21&gt;1, D21&lt;=HS_Cumm2), C22+HS_Adjusted2, ""))</f>
        <v>29.75</v>
      </c>
      <c r="E22" s="3">
        <f>IF(E21=1, HS_Corner2, IF(AND(E21&gt;1, E21&lt;=HS_Cumm2), D22+HS_Adjusted2, ""))</f>
        <v>41.625</v>
      </c>
      <c r="F22" s="3">
        <f>IF(F21=1, HS_Corner2, IF(AND(F21&gt;1, F21&lt;=HS_Cumm2), E22+HS_Adjusted2, ""))</f>
        <v>53.5</v>
      </c>
      <c r="G22" s="3">
        <f>IF(G21=1, HS_Corner2, IF(AND(G21&gt;1, G21&lt;=HS_Cumm2), F22+HS_Adjusted2, ""))</f>
        <v>65.375</v>
      </c>
      <c r="H22" s="3" t="str">
        <f>IF(H21=1, HS_Corner2, IF(AND(H21&gt;1, H21&lt;=HS_Cumm2), G22+HS_Adjusted2, ""))</f>
        <v/>
      </c>
      <c r="I22" s="3" t="str">
        <f>IF(I21=1, HS_Corner2, IF(AND(I21&gt;1, I21&lt;=HS_Cumm2), H22+HS_Adjusted2, ""))</f>
        <v/>
      </c>
      <c r="J22" s="3" t="str">
        <f>IF(J21=1, HS_Corner2, IF(AND(J21&gt;1, J21&lt;=HS_Cumm2), I22+HS_Adjusted2, ""))</f>
        <v/>
      </c>
      <c r="K22" s="3" t="str">
        <f>IF(K21=1, HS_Corner2, IF(AND(K21&gt;1, K21&lt;=HS_Cumm2), J22+HS_Adjusted2, ""))</f>
        <v/>
      </c>
      <c r="L22" s="3" t="str">
        <f>IF(L21=1, HS_Corner2, IF(AND(L21&gt;1, L21&lt;=HS_Cumm2), K22+HS_Adjusted2, ""))</f>
        <v/>
      </c>
      <c r="M22" s="3" t="str">
        <f>IF(M21=1, HS_Corner2, IF(AND(M21&gt;1, M21&lt;=HS_Cumm2), L22+HS_Adjusted2, ""))</f>
        <v/>
      </c>
      <c r="N22" s="3" t="str">
        <f>IF(N21=1, HS_Corner2, IF(AND(N21&gt;1, N21&lt;=HS_Cumm2), M22+HS_Adjusted2, ""))</f>
        <v/>
      </c>
      <c r="O22" s="3" t="str">
        <f>IF(O21=1, HS_Corner2, IF(AND(O21&gt;1, O21&lt;=HS_Cumm2), N22+HS_Adjusted2, ""))</f>
        <v/>
      </c>
      <c r="P22" s="3" t="str">
        <f>IF(P21=1, HS_Corner2, IF(AND(P21&gt;1, P21&lt;=HS_Cumm2), O22+HS_Adjusted2, ""))</f>
        <v/>
      </c>
    </row>
    <row r="25" spans="1:27" x14ac:dyDescent="0.3">
      <c r="A25" s="17" t="s">
        <v>45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7" spans="1:27" x14ac:dyDescent="0.3">
      <c r="A27" t="s">
        <v>72</v>
      </c>
    </row>
    <row r="28" spans="1:27" x14ac:dyDescent="0.3">
      <c r="A28" s="31" t="s">
        <v>81</v>
      </c>
    </row>
    <row r="29" spans="1:27" x14ac:dyDescent="0.3">
      <c r="A29" s="31" t="s">
        <v>82</v>
      </c>
    </row>
    <row r="31" spans="1:27" x14ac:dyDescent="0.3">
      <c r="A31" t="s">
        <v>22</v>
      </c>
      <c r="B31" t="s">
        <v>83</v>
      </c>
    </row>
    <row r="32" spans="1:27" x14ac:dyDescent="0.3">
      <c r="A32" t="s">
        <v>23</v>
      </c>
      <c r="B32" t="s">
        <v>84</v>
      </c>
    </row>
    <row r="33" spans="1:2" x14ac:dyDescent="0.3">
      <c r="A33" t="s">
        <v>24</v>
      </c>
      <c r="B33" s="10" t="s">
        <v>32</v>
      </c>
    </row>
    <row r="35" spans="1:2" x14ac:dyDescent="0.3">
      <c r="A35" t="s">
        <v>77</v>
      </c>
    </row>
    <row r="36" spans="1:2" x14ac:dyDescent="0.3">
      <c r="A36" s="31" t="s">
        <v>85</v>
      </c>
    </row>
    <row r="37" spans="1:2" x14ac:dyDescent="0.3">
      <c r="A37" s="31" t="s">
        <v>86</v>
      </c>
    </row>
    <row r="39" spans="1:2" x14ac:dyDescent="0.3">
      <c r="A39" t="s">
        <v>22</v>
      </c>
      <c r="B39" t="s">
        <v>83</v>
      </c>
    </row>
    <row r="40" spans="1:2" x14ac:dyDescent="0.3">
      <c r="A40" t="s">
        <v>23</v>
      </c>
      <c r="B40" t="s">
        <v>87</v>
      </c>
    </row>
    <row r="41" spans="1:2" x14ac:dyDescent="0.3">
      <c r="A41" t="s">
        <v>24</v>
      </c>
      <c r="B41" s="10" t="s">
        <v>32</v>
      </c>
    </row>
  </sheetData>
  <conditionalFormatting sqref="B17:P18">
    <cfRule type="expression" dxfId="11" priority="3">
      <formula>B$18=""</formula>
    </cfRule>
    <cfRule type="expression" dxfId="10" priority="4">
      <formula>B$18&lt;$B$7</formula>
    </cfRule>
    <cfRule type="expression" dxfId="9" priority="5">
      <formula>B$18&lt;$B$7+#REF!</formula>
    </cfRule>
    <cfRule type="expression" dxfId="8" priority="6">
      <formula>B$18&lt;$B$7+#REF!+#REF!</formula>
    </cfRule>
  </conditionalFormatting>
  <conditionalFormatting sqref="B21:P22">
    <cfRule type="expression" dxfId="7" priority="1">
      <formula>B$22=""</formula>
    </cfRule>
    <cfRule type="expression" dxfId="6" priority="2">
      <formula>B$21&lt;=$G$8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41"/>
  <sheetViews>
    <sheetView zoomScale="75" zoomScaleNormal="75" workbookViewId="0">
      <selection activeCell="N33" sqref="N33"/>
    </sheetView>
  </sheetViews>
  <sheetFormatPr defaultRowHeight="14.4" x14ac:dyDescent="0.3"/>
  <cols>
    <col min="1" max="1" width="21.6640625" customWidth="1"/>
    <col min="2" max="16" width="8.88671875" customWidth="1"/>
  </cols>
  <sheetData>
    <row r="1" spans="1:27" x14ac:dyDescent="0.3">
      <c r="A1" s="2" t="s">
        <v>68</v>
      </c>
    </row>
    <row r="2" spans="1:27" x14ac:dyDescent="0.3">
      <c r="A2" t="s">
        <v>69</v>
      </c>
    </row>
    <row r="5" spans="1:27" x14ac:dyDescent="0.3">
      <c r="A5" s="16"/>
      <c r="B5" s="16"/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</row>
    <row r="6" spans="1:27" ht="101.4" x14ac:dyDescent="0.3">
      <c r="B6" s="21" t="s">
        <v>0</v>
      </c>
      <c r="C6" s="21" t="s">
        <v>4</v>
      </c>
      <c r="D6" s="21" t="s">
        <v>3</v>
      </c>
      <c r="E6" s="21" t="s">
        <v>2</v>
      </c>
      <c r="F6" s="21" t="s">
        <v>5</v>
      </c>
      <c r="G6" s="21" t="s">
        <v>11</v>
      </c>
    </row>
    <row r="7" spans="1:27" x14ac:dyDescent="0.3">
      <c r="A7" s="25" t="s">
        <v>0</v>
      </c>
      <c r="B7" s="22">
        <v>36</v>
      </c>
      <c r="C7" s="23">
        <f>IF(FW_UnitWidth="","",6)</f>
        <v>6</v>
      </c>
      <c r="D7" s="23">
        <v>14</v>
      </c>
      <c r="E7" s="24">
        <f>IF(FW_UnitWidth="","",ROUNDUP(((FW_UnitWidth-2*FW_Corner1)/FW_MaxOC1)+1,0))</f>
        <v>3</v>
      </c>
      <c r="F7" s="24">
        <f>IF(FW_UnitWidth="","",FLOOR(((FW_UnitWidth-2*FW_Corner1)/(FW_HoleFreq1-1)), 0.0625))</f>
        <v>12</v>
      </c>
      <c r="G7" s="24">
        <f>IF(FW_UnitWidth="","",FW_HoleFreq1)</f>
        <v>3</v>
      </c>
    </row>
    <row r="8" spans="1:27" x14ac:dyDescent="0.3">
      <c r="A8" s="26" t="s">
        <v>1</v>
      </c>
      <c r="B8" s="22">
        <v>11.5</v>
      </c>
      <c r="C8" s="23">
        <f>FW_Corner1</f>
        <v>6</v>
      </c>
      <c r="D8" s="23">
        <f>FW_MaxOC1</f>
        <v>14</v>
      </c>
      <c r="E8" s="24">
        <f>IF(FW_UnitHeight="","",ROUNDUP(((FW_UnitHeight-2*FW_Corner1)/FW_MaxOC1)+1,0))</f>
        <v>1</v>
      </c>
      <c r="F8" s="24" t="e">
        <f>IF(FW_UnitHeight="","",FLOOR(((FW_UnitHeight-2*FW_Corner1)/(FW_HoleFreq2-1)), 0.0625))</f>
        <v>#DIV/0!</v>
      </c>
      <c r="G8" s="24">
        <f>IF(FW_UnitHeight="","",FW_HoleFreq2)</f>
        <v>1</v>
      </c>
    </row>
    <row r="10" spans="1:27" x14ac:dyDescent="0.3">
      <c r="A10" s="18" t="s">
        <v>6</v>
      </c>
    </row>
    <row r="11" spans="1:27" x14ac:dyDescent="0.3">
      <c r="A11" s="19" t="s">
        <v>41</v>
      </c>
    </row>
    <row r="12" spans="1:27" x14ac:dyDescent="0.3">
      <c r="A12" s="20" t="s">
        <v>42</v>
      </c>
    </row>
    <row r="13" spans="1:27" x14ac:dyDescent="0.3"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</row>
    <row r="14" spans="1:27" x14ac:dyDescent="0.3">
      <c r="A14" s="17" t="s">
        <v>44</v>
      </c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</row>
    <row r="15" spans="1:27" x14ac:dyDescent="0.3">
      <c r="A15" s="28"/>
    </row>
    <row r="16" spans="1:27" x14ac:dyDescent="0.3">
      <c r="A16" t="s">
        <v>76</v>
      </c>
      <c r="B16" s="29" t="s">
        <v>58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</row>
    <row r="17" spans="1:27" x14ac:dyDescent="0.3">
      <c r="A17" s="1" t="s">
        <v>12</v>
      </c>
      <c r="B17" s="3">
        <v>1</v>
      </c>
      <c r="C17" s="3">
        <v>2</v>
      </c>
      <c r="D17" s="3">
        <v>3</v>
      </c>
      <c r="E17" s="3">
        <v>4</v>
      </c>
      <c r="F17" s="3">
        <v>5</v>
      </c>
      <c r="G17" s="3">
        <v>6</v>
      </c>
      <c r="H17" s="3">
        <v>7</v>
      </c>
      <c r="I17" s="3">
        <v>8</v>
      </c>
      <c r="J17" s="3">
        <v>9</v>
      </c>
      <c r="K17" s="3">
        <v>10</v>
      </c>
      <c r="L17" s="3">
        <v>11</v>
      </c>
      <c r="M17" s="3">
        <v>12</v>
      </c>
      <c r="N17" s="3">
        <v>13</v>
      </c>
      <c r="O17" s="3">
        <v>14</v>
      </c>
      <c r="P17" s="3">
        <v>15</v>
      </c>
    </row>
    <row r="18" spans="1:27" x14ac:dyDescent="0.3">
      <c r="A18" s="1" t="s">
        <v>13</v>
      </c>
      <c r="B18" s="3">
        <f t="shared" ref="B18:P18" si="0">IF(B17=1, FW_Corner1, IF(AND(B17&gt;1, B17&lt;=FW_Cumm1), A18+FW_Adjusted1, ""))</f>
        <v>6</v>
      </c>
      <c r="C18" s="3">
        <f t="shared" si="0"/>
        <v>18</v>
      </c>
      <c r="D18" s="3">
        <f t="shared" si="0"/>
        <v>30</v>
      </c>
      <c r="E18" s="3" t="str">
        <f t="shared" si="0"/>
        <v/>
      </c>
      <c r="F18" s="3" t="str">
        <f t="shared" si="0"/>
        <v/>
      </c>
      <c r="G18" s="3" t="str">
        <f t="shared" si="0"/>
        <v/>
      </c>
      <c r="H18" s="3" t="str">
        <f t="shared" si="0"/>
        <v/>
      </c>
      <c r="I18" s="3" t="str">
        <f t="shared" si="0"/>
        <v/>
      </c>
      <c r="J18" s="3" t="str">
        <f t="shared" si="0"/>
        <v/>
      </c>
      <c r="K18" s="3" t="str">
        <f t="shared" si="0"/>
        <v/>
      </c>
      <c r="L18" s="3" t="str">
        <f t="shared" si="0"/>
        <v/>
      </c>
      <c r="M18" s="3" t="str">
        <f t="shared" si="0"/>
        <v/>
      </c>
      <c r="N18" s="3" t="str">
        <f t="shared" si="0"/>
        <v/>
      </c>
      <c r="O18" s="3" t="str">
        <f t="shared" si="0"/>
        <v/>
      </c>
      <c r="P18" s="3" t="str">
        <f t="shared" si="0"/>
        <v/>
      </c>
    </row>
    <row r="20" spans="1:27" x14ac:dyDescent="0.3">
      <c r="A20" t="s">
        <v>75</v>
      </c>
      <c r="B20" s="29" t="s">
        <v>58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</row>
    <row r="21" spans="1:27" x14ac:dyDescent="0.3">
      <c r="A21" s="1" t="s">
        <v>12</v>
      </c>
      <c r="B21" s="3">
        <v>1</v>
      </c>
      <c r="C21" s="3">
        <v>2</v>
      </c>
      <c r="D21" s="3">
        <v>3</v>
      </c>
      <c r="E21" s="3">
        <v>4</v>
      </c>
      <c r="F21" s="3">
        <v>5</v>
      </c>
      <c r="G21" s="3">
        <v>6</v>
      </c>
      <c r="H21" s="3">
        <v>7</v>
      </c>
      <c r="I21" s="3">
        <v>8</v>
      </c>
      <c r="J21" s="3">
        <v>9</v>
      </c>
      <c r="K21" s="3">
        <v>10</v>
      </c>
      <c r="L21" s="3">
        <v>11</v>
      </c>
      <c r="M21" s="3">
        <v>12</v>
      </c>
      <c r="N21" s="3">
        <v>13</v>
      </c>
      <c r="O21" s="3">
        <v>14</v>
      </c>
      <c r="P21" s="3">
        <v>15</v>
      </c>
    </row>
    <row r="22" spans="1:27" x14ac:dyDescent="0.3">
      <c r="A22" s="1" t="s">
        <v>13</v>
      </c>
      <c r="B22" s="3">
        <f t="shared" ref="B22:P22" si="1">IF(B21=1, FW_Corner1, IF(AND(B21&gt;1, B21&lt;=FW_Cumm2), A22+FW_Adjusted2, ""))</f>
        <v>6</v>
      </c>
      <c r="C22" s="3" t="str">
        <f t="shared" si="1"/>
        <v/>
      </c>
      <c r="D22" s="3" t="str">
        <f t="shared" si="1"/>
        <v/>
      </c>
      <c r="E22" s="3" t="str">
        <f t="shared" si="1"/>
        <v/>
      </c>
      <c r="F22" s="3" t="str">
        <f t="shared" si="1"/>
        <v/>
      </c>
      <c r="G22" s="3" t="str">
        <f t="shared" si="1"/>
        <v/>
      </c>
      <c r="H22" s="3" t="str">
        <f t="shared" si="1"/>
        <v/>
      </c>
      <c r="I22" s="3" t="str">
        <f t="shared" si="1"/>
        <v/>
      </c>
      <c r="J22" s="3" t="str">
        <f t="shared" si="1"/>
        <v/>
      </c>
      <c r="K22" s="3" t="str">
        <f t="shared" si="1"/>
        <v/>
      </c>
      <c r="L22" s="3" t="str">
        <f t="shared" si="1"/>
        <v/>
      </c>
      <c r="M22" s="3" t="str">
        <f t="shared" si="1"/>
        <v/>
      </c>
      <c r="N22" s="3" t="str">
        <f t="shared" si="1"/>
        <v/>
      </c>
      <c r="O22" s="3" t="str">
        <f t="shared" si="1"/>
        <v/>
      </c>
      <c r="P22" s="3" t="str">
        <f t="shared" si="1"/>
        <v/>
      </c>
    </row>
    <row r="25" spans="1:27" x14ac:dyDescent="0.3">
      <c r="A25" s="17" t="s">
        <v>45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</row>
    <row r="27" spans="1:27" x14ac:dyDescent="0.3">
      <c r="A27" t="s">
        <v>72</v>
      </c>
    </row>
    <row r="28" spans="1:27" x14ac:dyDescent="0.3">
      <c r="A28" s="31" t="s">
        <v>70</v>
      </c>
    </row>
    <row r="29" spans="1:27" x14ac:dyDescent="0.3">
      <c r="A29" s="31" t="s">
        <v>71</v>
      </c>
    </row>
    <row r="31" spans="1:27" x14ac:dyDescent="0.3">
      <c r="A31" t="s">
        <v>22</v>
      </c>
      <c r="B31" t="s">
        <v>74</v>
      </c>
    </row>
    <row r="32" spans="1:27" x14ac:dyDescent="0.3">
      <c r="A32" t="s">
        <v>23</v>
      </c>
      <c r="B32" t="s">
        <v>73</v>
      </c>
    </row>
    <row r="33" spans="1:2" x14ac:dyDescent="0.3">
      <c r="A33" t="s">
        <v>24</v>
      </c>
      <c r="B33" s="10" t="s">
        <v>32</v>
      </c>
    </row>
    <row r="35" spans="1:2" x14ac:dyDescent="0.3">
      <c r="A35" t="s">
        <v>77</v>
      </c>
    </row>
    <row r="36" spans="1:2" x14ac:dyDescent="0.3">
      <c r="A36" s="31" t="s">
        <v>78</v>
      </c>
    </row>
    <row r="37" spans="1:2" x14ac:dyDescent="0.3">
      <c r="A37" s="31" t="s">
        <v>79</v>
      </c>
    </row>
    <row r="39" spans="1:2" x14ac:dyDescent="0.3">
      <c r="A39" t="s">
        <v>22</v>
      </c>
      <c r="B39" t="s">
        <v>74</v>
      </c>
    </row>
    <row r="40" spans="1:2" x14ac:dyDescent="0.3">
      <c r="A40" t="s">
        <v>23</v>
      </c>
      <c r="B40" t="s">
        <v>80</v>
      </c>
    </row>
    <row r="41" spans="1:2" x14ac:dyDescent="0.3">
      <c r="A41" t="s">
        <v>24</v>
      </c>
      <c r="B41" s="10" t="s">
        <v>32</v>
      </c>
    </row>
  </sheetData>
  <conditionalFormatting sqref="B17:P18">
    <cfRule type="expression" dxfId="5" priority="21">
      <formula>B$18=""</formula>
    </cfRule>
    <cfRule type="expression" dxfId="4" priority="22">
      <formula>B$18&lt;$B$7</formula>
    </cfRule>
    <cfRule type="expression" dxfId="3" priority="23">
      <formula>B$18&lt;$B$7+#REF!</formula>
    </cfRule>
    <cfRule type="expression" dxfId="2" priority="24">
      <formula>B$18&lt;$B$7+#REF!+#REF!</formula>
    </cfRule>
  </conditionalFormatting>
  <conditionalFormatting sqref="B21:P22">
    <cfRule type="expression" dxfId="1" priority="1">
      <formula>B$22=""</formula>
    </cfRule>
    <cfRule type="expression" dxfId="0" priority="2">
      <formula>B$21&lt;=$G$8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55</vt:i4>
      </vt:variant>
    </vt:vector>
  </HeadingPairs>
  <TitlesOfParts>
    <vt:vector size="59" baseType="lpstr">
      <vt:lpstr>SH Head Logic</vt:lpstr>
      <vt:lpstr>SH Jamb Logic</vt:lpstr>
      <vt:lpstr>HS Logic</vt:lpstr>
      <vt:lpstr>FW Logic</vt:lpstr>
      <vt:lpstr>'FW Logic'!FW_Adjusted1</vt:lpstr>
      <vt:lpstr>FW_Adjusted2</vt:lpstr>
      <vt:lpstr>FW_Corner1</vt:lpstr>
      <vt:lpstr>FW_Cumm1</vt:lpstr>
      <vt:lpstr>FW_Cumm2</vt:lpstr>
      <vt:lpstr>FW_HoleFreq1</vt:lpstr>
      <vt:lpstr>FW_HoleFreq2</vt:lpstr>
      <vt:lpstr>FW_MaxOC1</vt:lpstr>
      <vt:lpstr>FW_UnitHeight</vt:lpstr>
      <vt:lpstr>FW_UnitWidth</vt:lpstr>
      <vt:lpstr>'HS Logic'!HS_Adjusted1</vt:lpstr>
      <vt:lpstr>HS_Adjusted2</vt:lpstr>
      <vt:lpstr>HS_Corner1</vt:lpstr>
      <vt:lpstr>HS_Corner2</vt:lpstr>
      <vt:lpstr>HS_Cumm1</vt:lpstr>
      <vt:lpstr>HS_Cumm2</vt:lpstr>
      <vt:lpstr>HS_HoleFreq1</vt:lpstr>
      <vt:lpstr>'HS Logic'!HS_HoleFreq2</vt:lpstr>
      <vt:lpstr>'HS Logic'!HS_MaxOC1</vt:lpstr>
      <vt:lpstr>HS_OCMax2</vt:lpstr>
      <vt:lpstr>'HS Logic'!HS_UnitHeight</vt:lpstr>
      <vt:lpstr>HS_UnitHeight</vt:lpstr>
      <vt:lpstr>HS_UnitWidth</vt:lpstr>
      <vt:lpstr>SHHead_Adjusted1</vt:lpstr>
      <vt:lpstr>SHHead_Adjusted2</vt:lpstr>
      <vt:lpstr>SHHead_Adjusted3</vt:lpstr>
      <vt:lpstr>SHHead_Corner1</vt:lpstr>
      <vt:lpstr>SHHead_Corner2</vt:lpstr>
      <vt:lpstr>SHHead_Corner3</vt:lpstr>
      <vt:lpstr>SHHead_Cumm1</vt:lpstr>
      <vt:lpstr>SHHead_Cumm2</vt:lpstr>
      <vt:lpstr>SHHead_Cumm3</vt:lpstr>
      <vt:lpstr>SHHead_HoleFreq1</vt:lpstr>
      <vt:lpstr>SHHead_HoleFreq2</vt:lpstr>
      <vt:lpstr>SHHead_HoleFreq3</vt:lpstr>
      <vt:lpstr>SHHead_MaxOC1</vt:lpstr>
      <vt:lpstr>SHHead_MaxOC2</vt:lpstr>
      <vt:lpstr>SHHead_MaxOC3</vt:lpstr>
      <vt:lpstr>SHHead_UnitWidth1</vt:lpstr>
      <vt:lpstr>SHHead_UnitWidth2</vt:lpstr>
      <vt:lpstr>SHHead_UnitWidth3</vt:lpstr>
      <vt:lpstr>SHJamb_Adjusted1</vt:lpstr>
      <vt:lpstr>SHJamb_Adjusted2</vt:lpstr>
      <vt:lpstr>SHJamb_Corner1</vt:lpstr>
      <vt:lpstr>SHJamb_Corner2</vt:lpstr>
      <vt:lpstr>SHJamb_Cumm1</vt:lpstr>
      <vt:lpstr>SHJamb_Cumm2</vt:lpstr>
      <vt:lpstr>SHJamb_HoleFreq1</vt:lpstr>
      <vt:lpstr>SHJamb_HoleFreq2</vt:lpstr>
      <vt:lpstr>SHJamb_MaxOC1</vt:lpstr>
      <vt:lpstr>SHJamb_MaxOC2</vt:lpstr>
      <vt:lpstr>SHJamb_SashHeight1</vt:lpstr>
      <vt:lpstr>SHJamb_UnitHeight1</vt:lpstr>
      <vt:lpstr>SHJambCumm1</vt:lpstr>
      <vt:lpstr>SHJambCumm2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Arthur</dc:creator>
  <cp:lastModifiedBy>Travis Arthur</cp:lastModifiedBy>
  <cp:lastPrinted>2015-09-22T18:24:11Z</cp:lastPrinted>
  <dcterms:created xsi:type="dcterms:W3CDTF">2013-12-16T13:39:45Z</dcterms:created>
  <dcterms:modified xsi:type="dcterms:W3CDTF">2025-09-03T14:42:21Z</dcterms:modified>
</cp:coreProperties>
</file>